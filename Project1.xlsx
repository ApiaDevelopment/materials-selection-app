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  <Override PartName="/xl/richData/rdrichvaluestructure.xml" ContentType="application/vnd.ms-excel.rdrichvaluestructure+xml"/>
  <Override PartName="/xl/richData/richValueRel.xml" ContentType="application/vnd.ms-excel.richvaluerel+xml"/>
  <Override PartName="/xl/richData/rdRichValueTypes.xml" ContentType="application/vnd.ms-excel.rdrichvaluetypes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Projects\MegaPros\MaterialsSelectionApp\"/>
    </mc:Choice>
  </mc:AlternateContent>
  <xr:revisionPtr revIDLastSave="0" documentId="8_{4A5728A4-B2DA-4B28-B6E8-9CFD7D031C75}" xr6:coauthVersionLast="47" xr6:coauthVersionMax="47" xr10:uidLastSave="{00000000-0000-0000-0000-000000000000}"/>
  <bookViews>
    <workbookView xWindow="-25095" yWindow="540" windowWidth="22665" windowHeight="11295" xr2:uid="{FCC7231C-BB8F-4739-B556-00DD7B41290F}"/>
  </bookViews>
  <sheets>
    <sheet name="Vance, Stacey &amp; Terry 39505-LNC" sheetId="49" r:id="rId1"/>
  </sheets>
  <definedNames>
    <definedName name="_Hlk192681381" localSheetId="0">'Vance, Stacey &amp; Terry 39505-LNC'!#REF!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49" l="1"/>
  <c r="F15" i="49"/>
  <c r="F14" i="49"/>
  <c r="F13" i="49"/>
  <c r="F12" i="49"/>
  <c r="F11" i="49"/>
  <c r="F10" i="49"/>
  <c r="F7" i="49"/>
  <c r="F28" i="49" l="1"/>
  <c r="F30" i="49" s="1"/>
  <c r="D28" i="49"/>
  <c r="D56" i="49" s="1"/>
</calcChain>
</file>

<file path=xl/sharedStrings.xml><?xml version="1.0" encoding="utf-8"?>
<sst xmlns="http://schemas.openxmlformats.org/spreadsheetml/2006/main" count="55" uniqueCount="48">
  <si>
    <t xml:space="preserve">Vendor </t>
  </si>
  <si>
    <t xml:space="preserve">Ferguson </t>
  </si>
  <si>
    <t xml:space="preserve">Toilet </t>
  </si>
  <si>
    <t xml:space="preserve">Model </t>
  </si>
  <si>
    <t xml:space="preserve">Bath Remodel </t>
  </si>
  <si>
    <t xml:space="preserve">Terry &amp; Stacey Vance </t>
  </si>
  <si>
    <t xml:space="preserve">Allowance </t>
  </si>
  <si>
    <t xml:space="preserve">Actual Cost </t>
  </si>
  <si>
    <t xml:space="preserve">Ordered Date </t>
  </si>
  <si>
    <t xml:space="preserve">Received &amp; Inspected Date </t>
  </si>
  <si>
    <t xml:space="preserve">Staging Location </t>
  </si>
  <si>
    <t xml:space="preserve">Return or Damaged Notes </t>
  </si>
  <si>
    <t>1. Selection Phase (Choosing materials and finishes)</t>
  </si>
  <si>
    <t xml:space="preserve">Powder Room </t>
  </si>
  <si>
    <t xml:space="preserve">Vanity  21 x 30 Hanover / Carbon </t>
  </si>
  <si>
    <t>Shiloh Order</t>
  </si>
  <si>
    <t xml:space="preserve">Hardware Handles </t>
  </si>
  <si>
    <t>K-26640-2MB</t>
  </si>
  <si>
    <t xml:space="preserve">Quartz Top  Back &amp; Side Splash SQUARE </t>
  </si>
  <si>
    <t xml:space="preserve">Calacatta Botanica </t>
  </si>
  <si>
    <t>CACJR Granite  Quote REQ 11/22</t>
  </si>
  <si>
    <t xml:space="preserve">Sink </t>
  </si>
  <si>
    <t>K-2209-0</t>
  </si>
  <si>
    <t xml:space="preserve">Faucet &amp; Drain </t>
  </si>
  <si>
    <t>K-22022-4-2MB</t>
  </si>
  <si>
    <t>K-30810-0</t>
  </si>
  <si>
    <t xml:space="preserve">Toilet Paper Holder </t>
  </si>
  <si>
    <t>K-21954-2MB</t>
  </si>
  <si>
    <t>Ferguson</t>
  </si>
  <si>
    <t xml:space="preserve">Towel Ring </t>
  </si>
  <si>
    <t>K-21955-2MB</t>
  </si>
  <si>
    <t xml:space="preserve">Mirror </t>
  </si>
  <si>
    <t xml:space="preserve">K-26050-BLG </t>
  </si>
  <si>
    <t xml:space="preserve">Vanity Light </t>
  </si>
  <si>
    <t>K-31757-S03-2GL</t>
  </si>
  <si>
    <t xml:space="preserve">Paint </t>
  </si>
  <si>
    <t xml:space="preserve">Paint 2 Colors Twilight 2058-10 &amp; Garytint 1611 </t>
  </si>
  <si>
    <t xml:space="preserve">Benjamin Moore </t>
  </si>
  <si>
    <t xml:space="preserve">Ceiling White </t>
  </si>
  <si>
    <t xml:space="preserve">Trim </t>
  </si>
  <si>
    <t xml:space="preserve">Doors &amp; BaseBoard </t>
  </si>
  <si>
    <t xml:space="preserve">4 Doors - 2 Panel Solid </t>
  </si>
  <si>
    <t xml:space="preserve">3- Door Knobs 2 passage 1 privacy </t>
  </si>
  <si>
    <t xml:space="preserve">1 Bi-Fold Knobs Matte Black </t>
  </si>
  <si>
    <t xml:space="preserve">Wayfair </t>
  </si>
  <si>
    <t xml:space="preserve">Total Allowances to Actual Costs </t>
  </si>
  <si>
    <t xml:space="preserve">Over Allowance Materials Add-On </t>
  </si>
  <si>
    <t xml:space="preserve">Total Allowances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</si>
</sst>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</font>
    <font>
      <b/>
      <sz val="12"/>
      <color theme="1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0" fontId="3" fillId="0" borderId="0" xfId="0" applyFont="1"/>
    <xf numFmtId="14" fontId="2" fillId="0" borderId="0" xfId="0" applyNumberFormat="1" applyFont="1"/>
    <xf numFmtId="0" fontId="4" fillId="0" borderId="0" xfId="0" applyFont="1"/>
    <xf numFmtId="0" fontId="2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/>
    <xf numFmtId="0" fontId="7" fillId="0" borderId="0" xfId="0" applyFont="1"/>
    <xf numFmtId="164" fontId="6" fillId="0" borderId="0" xfId="0" applyNumberFormat="1" applyFont="1"/>
    <xf numFmtId="0" fontId="7" fillId="0" borderId="0" xfId="0" applyFont="1" applyAlignment="1">
      <alignment vertical="center"/>
    </xf>
    <xf numFmtId="164" fontId="7" fillId="0" borderId="0" xfId="0" applyNumberFormat="1" applyFont="1"/>
    <xf numFmtId="16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6" fillId="0" borderId="0" xfId="0" applyNumberFormat="1" applyFont="1"/>
    <xf numFmtId="0" fontId="6" fillId="0" borderId="0" xfId="0" applyFont="1" applyAlignment="1">
      <alignment horizontal="left" vertical="center" indent="7"/>
    </xf>
    <xf numFmtId="0" fontId="7" fillId="0" borderId="0" xfId="0" applyFont="1" applyAlignment="1">
      <alignment horizontal="left" vertical="center" indent="7"/>
    </xf>
    <xf numFmtId="164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51" Type="http://schemas.microsoft.com/office/2022/10/relationships/richValueRel" Target="richData/richValueRel.xml"/><Relationship Id="rId3" Type="http://schemas.openxmlformats.org/officeDocument/2006/relationships/styles" Target="styles.xml"/><Relationship Id="rId55" Type="http://schemas.microsoft.com/office/2022/11/relationships/FeaturePropertyBag" Target="featurePropertyBag/featurePropertyBag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54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3" Type="http://schemas.microsoft.com/office/2017/06/relationships/rdRichValueStructure" Target="richData/rdrichvaluestructure.xml"/><Relationship Id="rId5" Type="http://schemas.openxmlformats.org/officeDocument/2006/relationships/calcChain" Target="calcChain.xml"/><Relationship Id="rId52" Type="http://schemas.microsoft.com/office/2017/06/relationships/rdRichValue" Target="richData/rdrichvalue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70D8-71EB-4E9C-8587-A2DA2EC0F052}">
  <dimension ref="A1:P66"/>
  <sheetViews>
    <sheetView tabSelected="1" workbookViewId="0">
      <pane ySplit="2" topLeftCell="A3" activePane="bottomLeft" state="frozen"/>
      <selection activeCell="C1" sqref="C1"/>
      <selection pane="bottomLeft" activeCell="F7" sqref="F7"/>
    </sheetView>
  </sheetViews>
  <sheetFormatPr defaultColWidth="8.85546875" defaultRowHeight="15.75" customHeight="1" x14ac:dyDescent="0.25"/>
  <cols>
    <col min="1" max="1" width="12.7109375" style="10" customWidth="1"/>
    <col min="2" max="2" width="40.28515625" style="10" customWidth="1"/>
    <col min="3" max="3" width="15.28515625" style="10" customWidth="1"/>
    <col min="4" max="4" width="15" style="12" customWidth="1"/>
    <col min="5" max="5" width="1.85546875" style="12" customWidth="1"/>
    <col min="6" max="6" width="20" style="12" customWidth="1"/>
    <col min="7" max="7" width="2.7109375" style="10" customWidth="1"/>
    <col min="8" max="8" width="26.5703125" style="10" customWidth="1"/>
    <col min="9" max="9" width="13.7109375" style="10" customWidth="1"/>
    <col min="10" max="10" width="2.7109375" style="10" customWidth="1"/>
    <col min="11" max="11" width="9.140625" style="10" bestFit="1" customWidth="1"/>
    <col min="12" max="12" width="11.42578125" style="10" customWidth="1"/>
    <col min="13" max="13" width="2.140625" style="10" customWidth="1"/>
    <col min="14" max="14" width="9.140625" style="10" bestFit="1" customWidth="1"/>
    <col min="15" max="15" width="11.42578125" style="10" customWidth="1"/>
    <col min="16" max="16" width="32.5703125" style="10" customWidth="1"/>
    <col min="17" max="17" width="21.42578125" style="10" customWidth="1"/>
    <col min="18" max="16384" width="8.85546875" style="10"/>
  </cols>
  <sheetData>
    <row r="1" spans="1:16" s="11" customFormat="1" x14ac:dyDescent="0.25">
      <c r="A1" s="13" t="s">
        <v>4</v>
      </c>
      <c r="D1" s="14"/>
      <c r="E1" s="14"/>
      <c r="F1" s="14"/>
      <c r="K1" s="13"/>
      <c r="N1" s="13"/>
    </row>
    <row r="2" spans="1:16" s="11" customFormat="1" ht="63" x14ac:dyDescent="0.25">
      <c r="B2" s="11" t="s">
        <v>5</v>
      </c>
      <c r="C2" s="11" t="s">
        <v>3</v>
      </c>
      <c r="D2" s="15" t="s">
        <v>6</v>
      </c>
      <c r="E2" s="15"/>
      <c r="F2" s="15" t="s">
        <v>7</v>
      </c>
      <c r="G2" s="16"/>
      <c r="H2" s="16" t="s">
        <v>0</v>
      </c>
      <c r="I2" s="17" t="s">
        <v>8</v>
      </c>
      <c r="K2" s="18"/>
      <c r="L2" s="17" t="s">
        <v>9</v>
      </c>
      <c r="N2" s="18"/>
      <c r="O2" s="17" t="s">
        <v>10</v>
      </c>
      <c r="P2" s="16" t="s">
        <v>11</v>
      </c>
    </row>
    <row r="3" spans="1:16" s="11" customFormat="1" x14ac:dyDescent="0.25">
      <c r="A3" s="13" t="s">
        <v>12</v>
      </c>
      <c r="D3" s="14"/>
      <c r="E3" s="14"/>
      <c r="F3" s="14"/>
    </row>
    <row r="4" spans="1:16" x14ac:dyDescent="0.25">
      <c r="K4" s="19"/>
      <c r="N4" s="19"/>
    </row>
    <row r="5" spans="1:16" x14ac:dyDescent="0.25">
      <c r="A5" s="8" t="s">
        <v>13</v>
      </c>
      <c r="B5" s="20"/>
      <c r="C5" s="20"/>
      <c r="I5" s="22"/>
      <c r="K5" s="21" t="b">
        <v>0</v>
      </c>
      <c r="L5" s="22"/>
      <c r="N5" s="21" t="b">
        <v>0</v>
      </c>
    </row>
    <row r="6" spans="1:16" x14ac:dyDescent="0.25">
      <c r="A6" s="20"/>
      <c r="B6" s="6" t="s">
        <v>14</v>
      </c>
      <c r="C6" s="20"/>
      <c r="D6" s="12">
        <v>3200</v>
      </c>
      <c r="F6" s="12">
        <v>3100</v>
      </c>
      <c r="H6" s="1" t="s">
        <v>15</v>
      </c>
      <c r="I6" s="22">
        <v>45982</v>
      </c>
      <c r="K6" s="21" t="b">
        <v>1</v>
      </c>
      <c r="N6" s="21" t="b">
        <v>0</v>
      </c>
    </row>
    <row r="7" spans="1:16" x14ac:dyDescent="0.25">
      <c r="A7" s="20"/>
      <c r="B7" s="6" t="s">
        <v>16</v>
      </c>
      <c r="C7" s="20" t="s">
        <v>17</v>
      </c>
      <c r="F7" s="12">
        <f>55.58*10%+55.58</f>
        <v>61.137999999999998</v>
      </c>
      <c r="H7" s="1" t="s">
        <v>1</v>
      </c>
      <c r="I7" s="22">
        <v>45982</v>
      </c>
      <c r="K7" s="21" t="b">
        <v>1</v>
      </c>
      <c r="N7" s="21" t="b">
        <v>0</v>
      </c>
    </row>
    <row r="8" spans="1:16" x14ac:dyDescent="0.25">
      <c r="A8" s="20"/>
      <c r="B8" s="6" t="s">
        <v>18</v>
      </c>
      <c r="C8" s="20" t="s">
        <v>19</v>
      </c>
      <c r="H8" s="1" t="s">
        <v>20</v>
      </c>
      <c r="I8" s="22"/>
      <c r="K8" s="21" t="b">
        <v>0</v>
      </c>
      <c r="N8" s="21" t="b">
        <v>0</v>
      </c>
    </row>
    <row r="9" spans="1:16" x14ac:dyDescent="0.25">
      <c r="A9" s="20"/>
      <c r="B9" s="6"/>
      <c r="C9" s="20"/>
      <c r="H9" s="1"/>
      <c r="I9" s="22"/>
      <c r="K9" s="21" t="b">
        <v>0</v>
      </c>
      <c r="N9" s="21" t="b">
        <v>0</v>
      </c>
    </row>
    <row r="10" spans="1:16" x14ac:dyDescent="0.25">
      <c r="A10" s="20"/>
      <c r="B10" s="6" t="s">
        <v>21</v>
      </c>
      <c r="C10" s="20" t="s">
        <v>22</v>
      </c>
      <c r="D10" s="12">
        <v>300</v>
      </c>
      <c r="F10" s="5">
        <f>90.18*10%+90.18</f>
        <v>99.198000000000008</v>
      </c>
      <c r="H10" s="1" t="s">
        <v>1</v>
      </c>
      <c r="I10" s="22">
        <v>45982</v>
      </c>
      <c r="K10" s="21" t="b">
        <v>1</v>
      </c>
      <c r="N10" s="21" t="b">
        <v>0</v>
      </c>
    </row>
    <row r="11" spans="1:16" x14ac:dyDescent="0.25">
      <c r="A11" s="20"/>
      <c r="B11" s="6" t="s">
        <v>23</v>
      </c>
      <c r="C11" s="20" t="s">
        <v>24</v>
      </c>
      <c r="D11" s="12">
        <v>350</v>
      </c>
      <c r="F11" s="5">
        <f>325.42*10%+325.42</f>
        <v>357.96199999999999</v>
      </c>
      <c r="H11" s="1" t="s">
        <v>1</v>
      </c>
      <c r="I11" s="22">
        <v>45982</v>
      </c>
      <c r="K11" s="21" t="b">
        <v>1</v>
      </c>
      <c r="N11" s="21" t="b">
        <v>0</v>
      </c>
    </row>
    <row r="12" spans="1:16" x14ac:dyDescent="0.25">
      <c r="A12" s="20"/>
      <c r="B12" s="6" t="s">
        <v>2</v>
      </c>
      <c r="C12" s="20" t="s">
        <v>25</v>
      </c>
      <c r="D12" s="12">
        <v>300</v>
      </c>
      <c r="F12" s="12">
        <f>379*10%+379</f>
        <v>416.9</v>
      </c>
      <c r="H12" s="10" t="s">
        <v>1</v>
      </c>
      <c r="I12" s="22">
        <v>45982</v>
      </c>
      <c r="K12" s="21" t="b">
        <v>1</v>
      </c>
      <c r="N12" s="21" t="b">
        <v>0</v>
      </c>
    </row>
    <row r="13" spans="1:16" x14ac:dyDescent="0.25">
      <c r="A13" s="20"/>
      <c r="B13" s="20" t="s">
        <v>26</v>
      </c>
      <c r="C13" s="20" t="s">
        <v>27</v>
      </c>
      <c r="F13" s="12">
        <f>61.83*10%+61.83</f>
        <v>68.013000000000005</v>
      </c>
      <c r="H13" s="10" t="s">
        <v>28</v>
      </c>
      <c r="I13" s="22">
        <v>45982</v>
      </c>
      <c r="K13" s="21" t="b">
        <v>1</v>
      </c>
      <c r="N13" s="21" t="b">
        <v>0</v>
      </c>
    </row>
    <row r="14" spans="1:16" x14ac:dyDescent="0.25">
      <c r="A14" s="6"/>
      <c r="B14" s="6" t="s">
        <v>29</v>
      </c>
      <c r="C14" s="20" t="s">
        <v>30</v>
      </c>
      <c r="F14" s="5">
        <f>46.36*10%+46.36</f>
        <v>50.996000000000002</v>
      </c>
      <c r="H14" s="1" t="s">
        <v>28</v>
      </c>
      <c r="I14" s="22">
        <v>45982</v>
      </c>
      <c r="K14" s="21" t="b">
        <v>1</v>
      </c>
      <c r="N14" s="21" t="b">
        <v>0</v>
      </c>
    </row>
    <row r="15" spans="1:16" x14ac:dyDescent="0.25">
      <c r="A15" s="6"/>
      <c r="B15" s="6" t="s">
        <v>31</v>
      </c>
      <c r="C15" s="20" t="s">
        <v>32</v>
      </c>
      <c r="D15" s="12">
        <v>400</v>
      </c>
      <c r="F15" s="5">
        <f>207.21*10%+207.21</f>
        <v>227.93100000000001</v>
      </c>
      <c r="H15" s="1" t="s">
        <v>1</v>
      </c>
      <c r="I15" s="22">
        <v>45982</v>
      </c>
      <c r="K15" s="21" t="b">
        <v>1</v>
      </c>
      <c r="N15" s="21" t="b">
        <v>0</v>
      </c>
    </row>
    <row r="16" spans="1:16" x14ac:dyDescent="0.25">
      <c r="A16" s="6"/>
      <c r="B16" s="6" t="s">
        <v>33</v>
      </c>
      <c r="C16" s="20" t="s">
        <v>34</v>
      </c>
      <c r="D16" s="12">
        <v>350</v>
      </c>
      <c r="F16" s="5">
        <f>331.38*10%+331.38</f>
        <v>364.51799999999997</v>
      </c>
      <c r="H16" s="1" t="s">
        <v>1</v>
      </c>
      <c r="I16" s="22">
        <v>45982</v>
      </c>
      <c r="K16" s="21" t="b">
        <v>1</v>
      </c>
      <c r="N16" s="21" t="b">
        <v>0</v>
      </c>
    </row>
    <row r="17" spans="1:14" x14ac:dyDescent="0.25">
      <c r="A17" s="20"/>
      <c r="B17" s="6"/>
      <c r="C17" s="20"/>
      <c r="I17" s="22"/>
      <c r="K17" s="21" t="b">
        <v>0</v>
      </c>
      <c r="N17" s="21" t="b">
        <v>0</v>
      </c>
    </row>
    <row r="18" spans="1:14" x14ac:dyDescent="0.25">
      <c r="A18" s="6" t="s">
        <v>35</v>
      </c>
      <c r="B18" s="6" t="s">
        <v>36</v>
      </c>
      <c r="C18" s="20"/>
      <c r="H18" s="1" t="s">
        <v>37</v>
      </c>
      <c r="I18" s="22">
        <v>45983</v>
      </c>
      <c r="K18" s="21" t="b">
        <v>1</v>
      </c>
      <c r="N18" s="21" t="b">
        <v>0</v>
      </c>
    </row>
    <row r="19" spans="1:14" x14ac:dyDescent="0.25">
      <c r="A19" s="20"/>
      <c r="B19" s="1" t="s">
        <v>38</v>
      </c>
      <c r="C19" s="20"/>
      <c r="I19" s="22"/>
      <c r="K19" s="21" t="b">
        <v>0</v>
      </c>
      <c r="N19" s="21" t="b">
        <v>0</v>
      </c>
    </row>
    <row r="20" spans="1:14" x14ac:dyDescent="0.25">
      <c r="A20" s="20"/>
      <c r="B20" s="6" t="s">
        <v>39</v>
      </c>
      <c r="C20" s="20"/>
      <c r="I20" s="22"/>
      <c r="K20" s="21" t="b">
        <v>0</v>
      </c>
      <c r="N20" s="21" t="b">
        <v>0</v>
      </c>
    </row>
    <row r="21" spans="1:14" x14ac:dyDescent="0.25">
      <c r="A21" s="20"/>
      <c r="B21" s="6"/>
      <c r="C21" s="20"/>
      <c r="I21" s="22"/>
      <c r="K21" s="21" t="b">
        <v>0</v>
      </c>
      <c r="N21" s="21" t="b">
        <v>0</v>
      </c>
    </row>
    <row r="22" spans="1:14" x14ac:dyDescent="0.25">
      <c r="A22" s="20"/>
      <c r="B22" s="20"/>
      <c r="C22" s="20"/>
      <c r="K22" s="19"/>
      <c r="N22" s="19"/>
    </row>
    <row r="23" spans="1:14" x14ac:dyDescent="0.25">
      <c r="A23" s="8" t="s">
        <v>40</v>
      </c>
      <c r="B23" s="6"/>
      <c r="C23" s="20"/>
      <c r="F23" s="5"/>
      <c r="H23" s="5"/>
      <c r="I23" s="22"/>
      <c r="K23" s="21" t="b">
        <v>0</v>
      </c>
      <c r="L23" s="22"/>
      <c r="N23" s="21" t="b">
        <v>0</v>
      </c>
    </row>
    <row r="24" spans="1:14" x14ac:dyDescent="0.25">
      <c r="A24" s="20"/>
      <c r="B24" s="20" t="s">
        <v>41</v>
      </c>
      <c r="C24" s="20"/>
      <c r="D24" s="12">
        <v>2100</v>
      </c>
      <c r="I24" s="22"/>
      <c r="K24" s="21" t="b">
        <v>0</v>
      </c>
      <c r="L24" s="22"/>
      <c r="N24" s="21" t="b">
        <v>0</v>
      </c>
    </row>
    <row r="25" spans="1:14" x14ac:dyDescent="0.25">
      <c r="A25" s="20"/>
      <c r="B25" s="20" t="s">
        <v>42</v>
      </c>
      <c r="C25" s="20"/>
      <c r="I25" s="22"/>
      <c r="K25" s="21" t="b">
        <v>0</v>
      </c>
      <c r="L25" s="22"/>
      <c r="N25" s="21" t="b">
        <v>0</v>
      </c>
    </row>
    <row r="26" spans="1:14" x14ac:dyDescent="0.25">
      <c r="A26" s="20"/>
      <c r="B26" s="20" t="s">
        <v>43</v>
      </c>
      <c r="C26" s="20"/>
      <c r="F26" s="12">
        <v>12.35</v>
      </c>
      <c r="H26" s="10" t="s">
        <v>44</v>
      </c>
      <c r="I26" s="22">
        <v>45983</v>
      </c>
      <c r="K26" s="21" t="b">
        <v>0</v>
      </c>
      <c r="L26" s="22"/>
      <c r="N26" s="21" t="b">
        <v>0</v>
      </c>
    </row>
    <row r="27" spans="1:14" x14ac:dyDescent="0.25">
      <c r="A27" s="20"/>
      <c r="B27" s="6"/>
      <c r="C27" s="20"/>
      <c r="I27" s="22"/>
      <c r="K27" s="21" t="b">
        <v>0</v>
      </c>
      <c r="L27" s="22"/>
      <c r="N27" s="21" t="b">
        <v>0</v>
      </c>
    </row>
    <row r="28" spans="1:14" s="3" customFormat="1" x14ac:dyDescent="0.25">
      <c r="A28" s="8"/>
      <c r="B28" s="8" t="s">
        <v>45</v>
      </c>
      <c r="C28" s="8"/>
      <c r="D28" s="4">
        <f>SUM(D5:D27)</f>
        <v>7000</v>
      </c>
      <c r="E28" s="4"/>
      <c r="F28" s="4">
        <f>SUM(F5:F27)</f>
        <v>4759.0060000000003</v>
      </c>
      <c r="I28" s="7"/>
      <c r="K28" s="9" t="b">
        <v>0</v>
      </c>
      <c r="L28" s="7"/>
      <c r="N28" s="9" t="b">
        <v>0</v>
      </c>
    </row>
    <row r="29" spans="1:14" s="3" customFormat="1" x14ac:dyDescent="0.25">
      <c r="A29" s="8"/>
      <c r="B29" s="8" t="s">
        <v>6</v>
      </c>
      <c r="C29" s="8"/>
      <c r="D29" s="4"/>
      <c r="E29" s="4"/>
      <c r="F29" s="25"/>
      <c r="I29" s="7"/>
      <c r="K29" s="9" t="b">
        <v>0</v>
      </c>
      <c r="L29" s="7"/>
      <c r="N29" s="9" t="b">
        <v>0</v>
      </c>
    </row>
    <row r="30" spans="1:14" s="3" customFormat="1" x14ac:dyDescent="0.25">
      <c r="A30" s="8"/>
      <c r="B30" s="8" t="s">
        <v>46</v>
      </c>
      <c r="C30" s="8"/>
      <c r="D30" s="4"/>
      <c r="E30" s="4"/>
      <c r="F30" s="4">
        <f>SUM(F28:F29)</f>
        <v>4759.0060000000003</v>
      </c>
      <c r="I30" s="7"/>
      <c r="K30" s="9" t="b">
        <v>0</v>
      </c>
      <c r="L30" s="7"/>
      <c r="N30" s="9" t="b">
        <v>0</v>
      </c>
    </row>
    <row r="31" spans="1:14" x14ac:dyDescent="0.25">
      <c r="A31" s="20"/>
      <c r="B31" s="20"/>
      <c r="C31" s="20"/>
      <c r="I31" s="22"/>
      <c r="K31" s="21" t="b">
        <v>0</v>
      </c>
      <c r="L31" s="22"/>
      <c r="N31" s="21" t="b">
        <v>0</v>
      </c>
    </row>
    <row r="32" spans="1:14" x14ac:dyDescent="0.25">
      <c r="A32" s="20"/>
      <c r="B32" s="20"/>
      <c r="C32" s="20"/>
      <c r="I32" s="22"/>
      <c r="K32" s="21" t="b">
        <v>0</v>
      </c>
      <c r="L32" s="22"/>
      <c r="N32" s="21" t="b">
        <v>0</v>
      </c>
    </row>
    <row r="33" spans="1:14" x14ac:dyDescent="0.25">
      <c r="A33" s="20"/>
      <c r="B33" s="20"/>
      <c r="C33" s="20"/>
      <c r="I33" s="22"/>
      <c r="K33" s="21" t="b">
        <v>0</v>
      </c>
      <c r="L33" s="22"/>
      <c r="N33" s="21" t="b">
        <v>0</v>
      </c>
    </row>
    <row r="34" spans="1:14" x14ac:dyDescent="0.25">
      <c r="A34" s="6"/>
      <c r="B34" s="6"/>
      <c r="C34" s="20"/>
      <c r="I34" s="22"/>
      <c r="K34" s="21" t="b">
        <v>0</v>
      </c>
      <c r="L34" s="22"/>
      <c r="N34" s="21" t="b">
        <v>0</v>
      </c>
    </row>
    <row r="35" spans="1:14" x14ac:dyDescent="0.25">
      <c r="A35" s="20"/>
      <c r="B35" s="6"/>
      <c r="C35" s="20"/>
      <c r="I35" s="22"/>
      <c r="K35" s="21" t="b">
        <v>0</v>
      </c>
      <c r="L35" s="22"/>
      <c r="N35" s="21" t="b">
        <v>0</v>
      </c>
    </row>
    <row r="36" spans="1:14" x14ac:dyDescent="0.25">
      <c r="A36" s="20"/>
      <c r="B36" s="6"/>
      <c r="C36" s="20"/>
      <c r="I36" s="22"/>
      <c r="K36" s="21" t="b">
        <v>0</v>
      </c>
      <c r="L36" s="22"/>
      <c r="N36" s="21" t="b">
        <v>0</v>
      </c>
    </row>
    <row r="37" spans="1:14" x14ac:dyDescent="0.25">
      <c r="A37" s="20"/>
      <c r="B37" s="20"/>
      <c r="C37" s="20"/>
      <c r="I37" s="22"/>
      <c r="K37" s="21" t="b">
        <v>0</v>
      </c>
      <c r="L37" s="22"/>
      <c r="N37" s="21" t="b">
        <v>0</v>
      </c>
    </row>
    <row r="38" spans="1:14" x14ac:dyDescent="0.25">
      <c r="A38" s="20"/>
      <c r="B38" s="6"/>
      <c r="C38" s="20"/>
      <c r="I38" s="22"/>
      <c r="K38" s="21" t="b">
        <v>0</v>
      </c>
      <c r="L38" s="22"/>
      <c r="N38" s="21" t="b">
        <v>0</v>
      </c>
    </row>
    <row r="39" spans="1:14" x14ac:dyDescent="0.25">
      <c r="A39" s="20"/>
      <c r="B39" s="20"/>
      <c r="C39" s="20"/>
      <c r="I39" s="22"/>
      <c r="K39" s="21" t="b">
        <v>0</v>
      </c>
      <c r="L39" s="22"/>
      <c r="N39" s="21" t="b">
        <v>0</v>
      </c>
    </row>
    <row r="40" spans="1:14" x14ac:dyDescent="0.25">
      <c r="A40" s="20"/>
      <c r="B40" s="20"/>
      <c r="C40" s="20"/>
      <c r="I40" s="22"/>
      <c r="K40" s="21" t="b">
        <v>0</v>
      </c>
      <c r="L40" s="22"/>
      <c r="N40" s="21" t="b">
        <v>0</v>
      </c>
    </row>
    <row r="41" spans="1:14" x14ac:dyDescent="0.25">
      <c r="A41" s="20"/>
      <c r="B41" s="20"/>
      <c r="C41" s="20"/>
      <c r="I41" s="22"/>
      <c r="K41" s="21" t="b">
        <v>0</v>
      </c>
      <c r="L41" s="22"/>
      <c r="N41" s="21" t="b">
        <v>0</v>
      </c>
    </row>
    <row r="42" spans="1:14" x14ac:dyDescent="0.25">
      <c r="A42" s="20"/>
      <c r="B42" s="20"/>
      <c r="C42" s="20"/>
      <c r="I42" s="22"/>
      <c r="K42" s="21" t="b">
        <v>0</v>
      </c>
      <c r="L42" s="22"/>
      <c r="N42" s="21" t="b">
        <v>0</v>
      </c>
    </row>
    <row r="43" spans="1:14" x14ac:dyDescent="0.25">
      <c r="A43" s="20"/>
      <c r="B43" s="20"/>
      <c r="C43" s="20"/>
      <c r="I43" s="22"/>
      <c r="K43" s="21" t="b">
        <v>0</v>
      </c>
      <c r="L43" s="22"/>
      <c r="N43" s="21" t="b">
        <v>0</v>
      </c>
    </row>
    <row r="44" spans="1:14" x14ac:dyDescent="0.25">
      <c r="K44" s="19"/>
      <c r="N44" s="19"/>
    </row>
    <row r="45" spans="1:14" x14ac:dyDescent="0.25">
      <c r="A45" s="1"/>
      <c r="B45" s="1"/>
      <c r="K45" s="19"/>
      <c r="N45" s="19"/>
    </row>
    <row r="46" spans="1:14" x14ac:dyDescent="0.25">
      <c r="K46" s="19"/>
      <c r="N46" s="19"/>
    </row>
    <row r="47" spans="1:14" x14ac:dyDescent="0.25">
      <c r="K47" s="19"/>
      <c r="N47" s="19"/>
    </row>
    <row r="48" spans="1:14" x14ac:dyDescent="0.25">
      <c r="K48" s="23"/>
      <c r="N48" s="23"/>
    </row>
    <row r="49" spans="2:14" s="11" customFormat="1" x14ac:dyDescent="0.25">
      <c r="D49" s="14"/>
      <c r="E49" s="14"/>
      <c r="F49" s="14"/>
      <c r="K49" s="24"/>
      <c r="N49" s="24"/>
    </row>
    <row r="50" spans="2:14" s="11" customFormat="1" x14ac:dyDescent="0.25">
      <c r="D50" s="14"/>
      <c r="E50" s="14"/>
      <c r="F50" s="14"/>
      <c r="K50" s="23"/>
      <c r="N50" s="23"/>
    </row>
    <row r="51" spans="2:14" s="11" customFormat="1" x14ac:dyDescent="0.25">
      <c r="B51" s="10"/>
      <c r="C51" s="10"/>
      <c r="D51" s="14"/>
      <c r="E51" s="14"/>
      <c r="F51" s="14"/>
      <c r="K51" s="13"/>
      <c r="N51" s="13"/>
    </row>
    <row r="52" spans="2:14" s="11" customFormat="1" x14ac:dyDescent="0.25">
      <c r="B52" s="10"/>
      <c r="C52" s="10"/>
      <c r="D52" s="14"/>
      <c r="E52" s="14"/>
      <c r="F52" s="14"/>
      <c r="K52" s="13"/>
      <c r="N52" s="13"/>
    </row>
    <row r="53" spans="2:14" x14ac:dyDescent="0.25">
      <c r="K53" s="13"/>
      <c r="N53" s="13"/>
    </row>
    <row r="54" spans="2:14" x14ac:dyDescent="0.25">
      <c r="K54" s="19"/>
      <c r="N54" s="19"/>
    </row>
    <row r="55" spans="2:14" x14ac:dyDescent="0.25">
      <c r="K55" s="19"/>
      <c r="N55" s="19"/>
    </row>
    <row r="56" spans="2:14" s="3" customFormat="1" x14ac:dyDescent="0.25">
      <c r="B56" s="3" t="s">
        <v>47</v>
      </c>
      <c r="D56" s="4">
        <f>SUM(D5:D55)</f>
        <v>14000</v>
      </c>
      <c r="E56" s="4"/>
      <c r="F56" s="4"/>
      <c r="K56" s="2"/>
      <c r="N56" s="2"/>
    </row>
    <row r="57" spans="2:14" x14ac:dyDescent="0.25">
      <c r="K57" s="19"/>
      <c r="N57" s="19"/>
    </row>
    <row r="58" spans="2:14" x14ac:dyDescent="0.25">
      <c r="K58" s="19"/>
      <c r="N58" s="19"/>
    </row>
    <row r="59" spans="2:14" x14ac:dyDescent="0.25">
      <c r="K59" s="19"/>
      <c r="N59" s="19"/>
    </row>
    <row r="60" spans="2:14" x14ac:dyDescent="0.25">
      <c r="K60" s="19"/>
      <c r="N60" s="19"/>
    </row>
    <row r="61" spans="2:14" x14ac:dyDescent="0.25">
      <c r="K61" s="19"/>
      <c r="N61" s="19"/>
    </row>
    <row r="62" spans="2:14" x14ac:dyDescent="0.25">
      <c r="K62" s="19"/>
      <c r="N62" s="19"/>
    </row>
    <row r="63" spans="2:14" x14ac:dyDescent="0.25">
      <c r="K63" s="19"/>
      <c r="N63" s="19"/>
    </row>
    <row r="64" spans="2:14" x14ac:dyDescent="0.25">
      <c r="K64" s="19"/>
      <c r="N64" s="19"/>
    </row>
    <row r="65" spans="11:14" x14ac:dyDescent="0.25">
      <c r="K65" s="19"/>
      <c r="N65" s="19"/>
    </row>
    <row r="66" spans="11:14" x14ac:dyDescent="0.25">
      <c r="K66" s="19"/>
      <c r="N66" s="19"/>
    </row>
  </sheetData>
  <pageMargins left="0.7" right="0.7" top="0.75" bottom="0.75" header="0.3" footer="0.3"/>
  <pageSetup orientation="portrait" horizontalDpi="203" verticalDpi="20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10c09e-83d3-4fdf-89fe-0427cf337cc1">
      <Terms xmlns="http://schemas.microsoft.com/office/infopath/2007/PartnerControls"/>
    </lcf76f155ced4ddcb4097134ff3c332f>
    <TaxCatchAll xmlns="1cb60c69-d778-4c2c-bf4b-6debbc7ff2c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CCA6C33DB954469FFC730A3D4DEEC2" ma:contentTypeVersion="19" ma:contentTypeDescription="Create a new document." ma:contentTypeScope="" ma:versionID="98641bea23f95a6381de321459938a31">
  <xsd:schema xmlns:xsd="http://www.w3.org/2001/XMLSchema" xmlns:xs="http://www.w3.org/2001/XMLSchema" xmlns:p="http://schemas.microsoft.com/office/2006/metadata/properties" xmlns:ns2="6810c09e-83d3-4fdf-89fe-0427cf337cc1" xmlns:ns3="1cb60c69-d778-4c2c-bf4b-6debbc7ff2c8" targetNamespace="http://schemas.microsoft.com/office/2006/metadata/properties" ma:root="true" ma:fieldsID="795254cd3428b8f1e9a55677565ea593" ns2:_="" ns3:_="">
    <xsd:import namespace="6810c09e-83d3-4fdf-89fe-0427cf337cc1"/>
    <xsd:import namespace="1cb60c69-d778-4c2c-bf4b-6debbc7ff2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0c09e-83d3-4fdf-89fe-0427cf337c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0749b28-0738-423f-a734-462967cb2e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b60c69-d778-4c2c-bf4b-6debbc7ff2c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f79d2d9-a943-4101-9d07-b8c47df2bc72}" ma:internalName="TaxCatchAll" ma:showField="CatchAllData" ma:web="1cb60c69-d778-4c2c-bf4b-6debbc7ff2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935A76-2DD9-4E2C-B650-EE8F6DC188C8}">
  <ds:schemaRefs>
    <ds:schemaRef ds:uri="http://schemas.microsoft.com/office/2006/metadata/properties"/>
    <ds:schemaRef ds:uri="http://schemas.microsoft.com/office/infopath/2007/PartnerControls"/>
    <ds:schemaRef ds:uri="6810c09e-83d3-4fdf-89fe-0427cf337cc1"/>
    <ds:schemaRef ds:uri="1cb60c69-d778-4c2c-bf4b-6debbc7ff2c8"/>
  </ds:schemaRefs>
</ds:datastoreItem>
</file>

<file path=customXml/itemProps2.xml><?xml version="1.0" encoding="utf-8"?>
<ds:datastoreItem xmlns:ds="http://schemas.openxmlformats.org/officeDocument/2006/customXml" ds:itemID="{1B7C88E1-41E8-43E5-8110-9B7F25DDAB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63C2F8-9FF3-469D-85F0-9F4A7172D6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10c09e-83d3-4fdf-89fe-0427cf337cc1"/>
    <ds:schemaRef ds:uri="1cb60c69-d778-4c2c-bf4b-6debbc7ff2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Vance, Stacey &amp; Terry 39505-LNC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Judy Hogel</dc:creator>
  <cp:keywords/>
  <dc:description/>
  <cp:lastModifiedBy>Jeff - Architecture</cp:lastModifiedBy>
  <cp:revision/>
  <dcterms:created xsi:type="dcterms:W3CDTF">2025-03-15T17:47:34Z</dcterms:created>
  <dcterms:modified xsi:type="dcterms:W3CDTF">2026-02-02T16:00:27Z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0x010100ABCCA6C33DB954469FFC730A3D4DEEC2</vt:lpwstr>
  </property>
  <property fmtid="{D5CDD505-2E9C-101B-9397-08002B2CF9AE}" pid="3" name="MediaServiceImageTags">
    <vt:lpwstr/>
  </property>
</Properties>
</file>