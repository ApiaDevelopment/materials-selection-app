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netorgft2978387.sharepoint.com/sites/megapros/Shared Documents/Production/"/>
    </mc:Choice>
  </mc:AlternateContent>
  <xr:revisionPtr revIDLastSave="7541" documentId="8_{DC7A1567-38C0-4DB4-9647-47E820DB865E}" xr6:coauthVersionLast="47" xr6:coauthVersionMax="47" xr10:uidLastSave="{5CAF8269-111A-4747-9488-86F688DE00DE}"/>
  <bookViews>
    <workbookView xWindow="-103" yWindow="-103" windowWidth="22149" windowHeight="13200" firstSheet="12" activeTab="3" xr2:uid="{FCC7231C-BB8F-4739-B556-00DD7B41290F}"/>
  </bookViews>
  <sheets>
    <sheet name="Service Products " sheetId="54" r:id="rId1"/>
    <sheet name="Installation Services " sheetId="53" r:id="rId2"/>
    <sheet name="Products " sheetId="55" r:id="rId3"/>
    <sheet name="Vendor " sheetId="56" r:id="rId4"/>
    <sheet name="Manufacturer " sheetId="52" r:id="rId5"/>
    <sheet name="APIA ITEMS  " sheetId="51" r:id="rId6"/>
    <sheet name="Frequent Material Model Price " sheetId="50" r:id="rId7"/>
    <sheet name="Material DON'T USE " sheetId="45" r:id="rId8"/>
    <sheet name="Add on Formula " sheetId="26" r:id="rId9"/>
    <sheet name="Vance, Stacey &amp; Terry 39505-LNC" sheetId="49" r:id="rId10"/>
    <sheet name="Roloff 39337-THC Bath " sheetId="47" r:id="rId11"/>
    <sheet name="Kelly, Larry &amp; Sue " sheetId="46" r:id="rId12"/>
    <sheet name="Cannan, Matthew 39279-LNC " sheetId="41" r:id="rId13"/>
    <sheet name="Rhoda, Roberta 39376-CJC" sheetId="43" r:id="rId14"/>
    <sheet name="Garwood, Denise Bath " sheetId="40" r:id="rId15"/>
    <sheet name="Garvin Tom &amp; Laura 39007-THC  " sheetId="37" r:id="rId16"/>
    <sheet name="Conforti, Vince 38894-CJC " sheetId="39" r:id="rId17"/>
    <sheet name="Schauer, Bill 39372-THC Bath  " sheetId="44" r:id="rId18"/>
    <sheet name="Marr Barb 38827-THC " sheetId="33" r:id="rId19"/>
    <sheet name="Brummond, Patty 38867-CJC " sheetId="31" r:id="rId20"/>
    <sheet name="Jeffrey, Tracy 38729-THC " sheetId="35" r:id="rId21"/>
    <sheet name="Danta, Andrew 39121-THC " sheetId="36" r:id="rId22"/>
    <sheet name="Boiko,Dennis 38865-CJC Kitchen " sheetId="29" r:id="rId23"/>
    <sheet name="Briese, Belinda 38875-THC  (2)" sheetId="42" r:id="rId24"/>
    <sheet name="Briese, Belinda 38875-THC " sheetId="34" r:id="rId25"/>
    <sheet name="Sayre, Scott 39010-THC Bath " sheetId="32" r:id="rId26"/>
    <sheet name="Sommer, Janice 38816-THC shower" sheetId="30" r:id="rId27"/>
    <sheet name="Sheet1" sheetId="38" r:id="rId28"/>
    <sheet name="Siragusa 38860-THC Condo B&amp;K" sheetId="24" r:id="rId29"/>
    <sheet name="Seroogy, Nancy 38718-THC" sheetId="28" r:id="rId30"/>
    <sheet name="Dunne, Nancy 38896-THC" sheetId="27" r:id="rId31"/>
    <sheet name="Brann 38849-CJC Laundry &amp; Bath " sheetId="25" r:id="rId32"/>
    <sheet name="Hyett HZR1 38537-LNC" sheetId="23" r:id="rId33"/>
    <sheet name="Houser 38753-THC Bath " sheetId="19" r:id="rId34"/>
    <sheet name="Dahlstrom 38873-THC " sheetId="21" r:id="rId35"/>
    <sheet name="VonRentzell - 38725-THC Bath " sheetId="18" r:id="rId36"/>
    <sheet name="Roloff 38562-LNC Basement " sheetId="17" r:id="rId37"/>
    <sheet name="Marasovich 38699-LNC Bath  " sheetId="14" r:id="rId38"/>
    <sheet name="Belcher 38660-LNC Bath " sheetId="16" r:id="rId39"/>
    <sheet name="DeSalvo 36590-LNX Kitchen " sheetId="2" r:id="rId40"/>
    <sheet name="Carran 38348-LNX Bath " sheetId="9" r:id="rId41"/>
    <sheet name="Schemenauer 38376-LNX  Kitchen " sheetId="6" r:id="rId42"/>
    <sheet name="Smrz 38462-LNC Bath " sheetId="11" r:id="rId43"/>
    <sheet name="Basement Material Template " sheetId="4" r:id="rId44"/>
    <sheet name="Bath Template " sheetId="10" r:id="rId45"/>
    <sheet name="Kitchen Template " sheetId="8" r:id="rId46"/>
  </sheets>
  <definedNames>
    <definedName name="_Hlk192681381" localSheetId="43">'Basement Material Template '!#REF!</definedName>
    <definedName name="_Hlk192681381" localSheetId="44">'Bath Template '!$B$66</definedName>
    <definedName name="_Hlk192681381" localSheetId="38">'Belcher 38660-LNC Bath '!$B$62</definedName>
    <definedName name="_Hlk192681381" localSheetId="22">'Boiko,Dennis 38865-CJC Kitchen '!#REF!</definedName>
    <definedName name="_Hlk192681381" localSheetId="31">'Brann 38849-CJC Laundry &amp; Bath '!$B$58</definedName>
    <definedName name="_Hlk192681381" localSheetId="24">'Briese, Belinda 38875-THC '!$B$49</definedName>
    <definedName name="_Hlk192681381" localSheetId="23">'Briese, Belinda 38875-THC  (2)'!$B$50</definedName>
    <definedName name="_Hlk192681381" localSheetId="19">'Brummond, Patty 38867-CJC '!$C$115</definedName>
    <definedName name="_Hlk192681381" localSheetId="12">'Cannan, Matthew 39279-LNC '!$B$93</definedName>
    <definedName name="_Hlk192681381" localSheetId="40">'Carran 38348-LNX Bath '!$B$66</definedName>
    <definedName name="_Hlk192681381" localSheetId="16">'Conforti, Vince 38894-CJC '!$B$35</definedName>
    <definedName name="_Hlk192681381" localSheetId="34">'Dahlstrom 38873-THC '!$B$42</definedName>
    <definedName name="_Hlk192681381" localSheetId="21">'Danta, Andrew 39121-THC '!#REF!</definedName>
    <definedName name="_Hlk192681381" localSheetId="39">'DeSalvo 36590-LNX Kitchen '!#REF!</definedName>
    <definedName name="_Hlk192681381" localSheetId="30">'Dunne, Nancy 38896-THC'!$B$56</definedName>
    <definedName name="_Hlk192681381" localSheetId="15">'Garvin Tom &amp; Laura 39007-THC  '!#REF!</definedName>
    <definedName name="_Hlk192681381" localSheetId="14">'Garwood, Denise Bath '!$B$37</definedName>
    <definedName name="_Hlk192681381" localSheetId="33">'Houser 38753-THC Bath '!$B$44</definedName>
    <definedName name="_Hlk192681381" localSheetId="32">'Hyett HZR1 38537-LNC'!$B$89</definedName>
    <definedName name="_Hlk192681381" localSheetId="20">'Jeffrey, Tracy 38729-THC '!#REF!</definedName>
    <definedName name="_Hlk192681381" localSheetId="11">'Kelly, Larry &amp; Sue '!$B$88</definedName>
    <definedName name="_Hlk192681381" localSheetId="45">'Kitchen Template '!#REF!</definedName>
    <definedName name="_Hlk192681381" localSheetId="37">'Marasovich 38699-LNC Bath  '!$B$49</definedName>
    <definedName name="_Hlk192681381" localSheetId="18">'Marr Barb 38827-THC '!$B$60</definedName>
    <definedName name="_Hlk192681381" localSheetId="13">'Rhoda, Roberta 39376-CJC'!$B$40</definedName>
    <definedName name="_Hlk192681381" localSheetId="36">'Roloff 38562-LNC Basement '!#REF!</definedName>
    <definedName name="_Hlk192681381" localSheetId="10">'Roloff 39337-THC Bath '!#REF!</definedName>
    <definedName name="_Hlk192681381" localSheetId="25">'Sayre, Scott 39010-THC Bath '!$B$46</definedName>
    <definedName name="_Hlk192681381" localSheetId="17">'Schauer, Bill 39372-THC Bath  '!#REF!</definedName>
    <definedName name="_Hlk192681381" localSheetId="41">'Schemenauer 38376-LNX  Kitchen '!$B$45</definedName>
    <definedName name="_Hlk192681381" localSheetId="29">'Seroogy, Nancy 38718-THC'!#REF!</definedName>
    <definedName name="_Hlk192681381" localSheetId="28">'Siragusa 38860-THC Condo B&amp;K'!$B$146</definedName>
    <definedName name="_Hlk192681381" localSheetId="42">'Smrz 38462-LNC Bath '!$B$64</definedName>
    <definedName name="_Hlk192681381" localSheetId="26">'Sommer, Janice 38816-THC shower'!$B$46</definedName>
    <definedName name="_Hlk192681381" localSheetId="9">'Vance, Stacey &amp; Terry 39505-LNC'!#REF!</definedName>
    <definedName name="_Hlk192681381" localSheetId="35">'VonRentzell - 38725-THC Bath '!$B$42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0" l="1"/>
  <c r="E7" i="50"/>
  <c r="G30" i="47"/>
  <c r="G31" i="47"/>
  <c r="G28" i="47"/>
  <c r="G27" i="47"/>
  <c r="G26" i="47"/>
  <c r="G17" i="47"/>
  <c r="G18" i="47"/>
  <c r="G19" i="47"/>
  <c r="G20" i="47"/>
  <c r="G21" i="47"/>
  <c r="G22" i="47"/>
  <c r="G23" i="47"/>
  <c r="G24" i="47"/>
  <c r="G32" i="47"/>
  <c r="G33" i="47"/>
  <c r="G56" i="47"/>
  <c r="G55" i="47"/>
  <c r="G54" i="47"/>
  <c r="G53" i="47"/>
  <c r="G12" i="47"/>
  <c r="G10" i="47"/>
  <c r="F16" i="49"/>
  <c r="F15" i="49"/>
  <c r="F14" i="49"/>
  <c r="F13" i="49"/>
  <c r="F12" i="49"/>
  <c r="F11" i="49"/>
  <c r="F10" i="49"/>
  <c r="F7" i="49"/>
  <c r="E123" i="41"/>
  <c r="G100" i="41"/>
  <c r="G117" i="41"/>
  <c r="G116" i="41"/>
  <c r="G115" i="41"/>
  <c r="G114" i="41"/>
  <c r="G113" i="41"/>
  <c r="G112" i="41"/>
  <c r="G111" i="41"/>
  <c r="G110" i="41"/>
  <c r="G109" i="41"/>
  <c r="G108" i="41"/>
  <c r="Q133" i="41"/>
  <c r="G74" i="41"/>
  <c r="G73" i="41"/>
  <c r="G72" i="41"/>
  <c r="G69" i="41"/>
  <c r="G66" i="41"/>
  <c r="G65" i="41"/>
  <c r="G68" i="41"/>
  <c r="G67" i="41"/>
  <c r="G63" i="41"/>
  <c r="G62" i="41"/>
  <c r="G61" i="41"/>
  <c r="F34" i="36"/>
  <c r="F16" i="36" s="1"/>
  <c r="F8" i="36"/>
  <c r="F9" i="36"/>
  <c r="G60" i="41"/>
  <c r="G59" i="41"/>
  <c r="G58" i="41"/>
  <c r="G70" i="41"/>
  <c r="G57" i="41"/>
  <c r="F28" i="49" l="1"/>
  <c r="F30" i="49" s="1"/>
  <c r="D28" i="49"/>
  <c r="D56" i="49" s="1"/>
  <c r="G26" i="41"/>
  <c r="G25" i="41"/>
  <c r="G24" i="41"/>
  <c r="G29" i="41"/>
  <c r="G22" i="41"/>
  <c r="G21" i="41"/>
  <c r="G20" i="41"/>
  <c r="G19" i="41"/>
  <c r="G18" i="41"/>
  <c r="G17" i="41"/>
  <c r="G15" i="41"/>
  <c r="G16" i="41"/>
  <c r="G28" i="41"/>
  <c r="G27" i="41"/>
  <c r="F44" i="37" l="1"/>
  <c r="F43" i="37"/>
  <c r="F20" i="37"/>
  <c r="F22" i="37"/>
  <c r="F21" i="37"/>
  <c r="F73" i="37"/>
  <c r="F98" i="37"/>
  <c r="F97" i="37"/>
  <c r="F80" i="37"/>
  <c r="F81" i="37"/>
  <c r="F82" i="37"/>
  <c r="F79" i="37"/>
  <c r="F96" i="37"/>
  <c r="F78" i="37"/>
  <c r="F83" i="37"/>
  <c r="F90" i="37"/>
  <c r="F66" i="37"/>
  <c r="F65" i="37"/>
  <c r="F64" i="37"/>
  <c r="F63" i="37"/>
  <c r="F59" i="37"/>
  <c r="F58" i="37"/>
  <c r="F61" i="37"/>
  <c r="F62" i="37"/>
  <c r="F60" i="37"/>
  <c r="F67" i="37"/>
  <c r="F54" i="37"/>
  <c r="E65" i="47"/>
  <c r="G66" i="47" s="1"/>
  <c r="G65" i="47"/>
  <c r="G67" i="47" s="1"/>
  <c r="G39" i="33"/>
  <c r="F119" i="37" l="1"/>
  <c r="E29" i="46"/>
  <c r="E103" i="46" s="1"/>
  <c r="G29" i="46"/>
  <c r="G123" i="41"/>
  <c r="F49" i="29"/>
  <c r="F44" i="44"/>
  <c r="F46" i="44" s="1"/>
  <c r="F57" i="42"/>
  <c r="D119" i="37"/>
  <c r="D9" i="44"/>
  <c r="D44" i="44" s="1"/>
  <c r="E33" i="43"/>
  <c r="D72" i="44" l="1"/>
  <c r="G33" i="43"/>
  <c r="D32" i="42"/>
  <c r="D43" i="42" s="1"/>
  <c r="F11" i="42"/>
  <c r="F43" i="42" s="1"/>
  <c r="F45" i="42" s="1"/>
  <c r="F59" i="42" s="1"/>
  <c r="F60" i="42" s="1"/>
  <c r="F63" i="42" s="1"/>
  <c r="F56" i="34"/>
  <c r="F55" i="34"/>
  <c r="F11" i="34"/>
  <c r="F53" i="34"/>
  <c r="G30" i="40"/>
  <c r="E30" i="40"/>
  <c r="F8" i="31"/>
  <c r="G28" i="39"/>
  <c r="E28" i="39"/>
  <c r="G136" i="17"/>
  <c r="E134" i="17"/>
  <c r="G134" i="17"/>
  <c r="F42" i="36"/>
  <c r="D42" i="36"/>
  <c r="J22" i="28"/>
  <c r="F20" i="27" l="1"/>
  <c r="F49" i="35" l="1"/>
  <c r="D49" i="35"/>
  <c r="F57" i="2"/>
  <c r="F54" i="2"/>
  <c r="H25" i="31"/>
  <c r="H104" i="31" s="1"/>
  <c r="G36" i="32"/>
  <c r="E36" i="32"/>
  <c r="D54" i="2" l="1"/>
  <c r="F42" i="34"/>
  <c r="F44" i="34" s="1"/>
  <c r="G53" i="33"/>
  <c r="E53" i="33"/>
  <c r="E139" i="24"/>
  <c r="D139" i="24"/>
  <c r="D31" i="34"/>
  <c r="D42" i="34" s="1"/>
  <c r="F47" i="29"/>
  <c r="E48" i="27"/>
  <c r="F48" i="27"/>
  <c r="G17" i="21"/>
  <c r="G31" i="21"/>
  <c r="F104" i="31"/>
  <c r="G25" i="30"/>
  <c r="G36" i="30"/>
  <c r="E36" i="30"/>
  <c r="D47" i="29"/>
  <c r="F53" i="28"/>
  <c r="D53" i="28"/>
  <c r="F15" i="2"/>
  <c r="C6" i="26"/>
  <c r="C4" i="26"/>
  <c r="G139" i="17"/>
  <c r="E48" i="25"/>
  <c r="G48" i="25"/>
  <c r="E81" i="23"/>
  <c r="E31" i="21"/>
  <c r="G34" i="19"/>
  <c r="E34" i="19"/>
  <c r="E32" i="18"/>
  <c r="G32" i="18"/>
  <c r="G41" i="16"/>
  <c r="G52" i="16"/>
  <c r="E58" i="9"/>
  <c r="E43" i="9"/>
  <c r="G45" i="11"/>
  <c r="E38" i="14"/>
  <c r="D38" i="14"/>
  <c r="E52" i="16"/>
  <c r="E54" i="11"/>
  <c r="G54" i="11"/>
  <c r="G30" i="6"/>
  <c r="E30" i="6"/>
  <c r="F53" i="8"/>
  <c r="D53" i="8"/>
  <c r="E125" i="4"/>
  <c r="G12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Hogel</author>
  </authors>
  <commentList>
    <comment ref="H14" authorId="0" shapeId="0" xr:uid="{6C6D3F2D-C0E9-415A-A5ED-B7DAF6E12EB6}">
      <text>
        <r>
          <rPr>
            <b/>
            <sz val="9"/>
            <color indexed="81"/>
            <rFont val="Tahoma"/>
            <charset val="1"/>
          </rPr>
          <t>Judy Hogel:</t>
        </r>
        <r>
          <rPr>
            <sz val="9"/>
            <color indexed="81"/>
            <rFont val="Tahoma"/>
            <charset val="1"/>
          </rPr>
          <t xml:space="preserve">
Total Ferguson order for all 
</t>
        </r>
      </text>
    </comment>
    <comment ref="H33" authorId="0" shapeId="0" xr:uid="{820FC539-943B-4EFC-A06F-865FB79FFB0F}">
      <text>
        <r>
          <rPr>
            <b/>
            <sz val="9"/>
            <color indexed="81"/>
            <rFont val="Tahoma"/>
            <charset val="1"/>
          </rPr>
          <t>Judy Hogel:</t>
        </r>
        <r>
          <rPr>
            <sz val="9"/>
            <color indexed="81"/>
            <rFont val="Tahoma"/>
            <charset val="1"/>
          </rPr>
          <t xml:space="preserve">
All tile Quote waiting on Final Invoice </t>
        </r>
      </text>
    </comment>
    <comment ref="H48" authorId="0" shapeId="0" xr:uid="{FDC021C7-ED3B-4055-92D1-83ED95847F7C}">
      <text>
        <r>
          <rPr>
            <b/>
            <sz val="9"/>
            <color indexed="81"/>
            <rFont val="Tahoma"/>
            <charset val="1"/>
          </rPr>
          <t>Judy Hogel:</t>
        </r>
        <r>
          <rPr>
            <sz val="9"/>
            <color indexed="81"/>
            <rFont val="Tahoma"/>
            <charset val="1"/>
          </rPr>
          <t xml:space="preserve">
TTL  For both bathrooms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Hogel</author>
  </authors>
  <commentList>
    <comment ref="E102" authorId="0" shapeId="0" xr:uid="{E0E544EE-84E7-482B-81F4-7671EC74B377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Carpet Pad and Tile for Bath </t>
        </r>
      </text>
    </comment>
    <comment ref="E120" authorId="0" shapeId="0" xr:uid="{22F52927-BA02-435C-A026-FFABE3C61ECF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Carpet and pad in with tile cost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Hogel</author>
  </authors>
  <commentList>
    <comment ref="G35" authorId="0" shapeId="0" xr:uid="{BB3DDC0E-DB9D-49AE-A8F6-AA1E19240316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All door quote need to be confirmed with M/M Roloff</t>
        </r>
      </text>
    </comment>
    <comment ref="G60" authorId="0" shapeId="0" xr:uid="{2EEBE1FA-5F77-4C16-965D-3C93C86DF2C7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Wall and floor bath Tile </t>
        </r>
      </text>
    </comment>
    <comment ref="G65" authorId="0" shapeId="0" xr:uid="{CA284918-722E-4B9A-B8B3-FDF20A0B61D2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Caulk &amp; Grout </t>
        </r>
      </text>
    </comment>
    <comment ref="I84" authorId="0" shapeId="0" xr:uid="{18694B7B-7C61-4258-BD72-54A2A4E87036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All ordered together. Fans, hall light, closet, light, toilet &amp; handle, Cabinet harware 
Door Stops 
</t>
        </r>
      </text>
    </comment>
    <comment ref="G114" authorId="0" shapeId="0" xr:uid="{C96EDD40-4470-464C-BC22-C47C14CA50E0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Stone total for Bar backsplash and fireplace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Hogel</author>
  </authors>
  <commentList>
    <comment ref="O26" authorId="0" shapeId="0" xr:uid="{76296182-2DAF-4B55-A624-2A88014F5EC0}">
      <text>
        <r>
          <rPr>
            <sz val="11"/>
            <color theme="1"/>
            <rFont val="Aptos Narrow"/>
            <family val="2"/>
            <scheme val="minor"/>
          </rPr>
          <t>Judy Hogel:
sent email deposit verfedand order 5/18</t>
        </r>
      </text>
    </comment>
    <comment ref="C28" authorId="0" shapeId="0" xr:uid="{D94A2613-E731-4804-8F78-75C37810CA6C}">
      <text>
        <r>
          <rPr>
            <sz val="11"/>
            <color theme="1"/>
            <rFont val="Aptos Narrow"/>
            <family val="2"/>
            <scheme val="minor"/>
          </rPr>
          <t xml:space="preserve">Judy Hogel:
Note called Prodesk Mike in Algonquin 4/15 because it says out of stock. He said he would call the buyer tomorrow and see what they say.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Hogel</author>
  </authors>
  <commentList>
    <comment ref="F5" authorId="0" shapeId="0" xr:uid="{C7789499-CD7F-4BED-B30A-19502663C4A5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paid by Customer. Credit $150.00 needed </t>
        </r>
      </text>
    </comment>
    <comment ref="F15" authorId="0" shapeId="0" xr:uid="{11CF14C5-956E-4E24-9EAA-7013F9D07FB6}">
      <text>
        <r>
          <rPr>
            <sz val="11"/>
            <color theme="1"/>
            <rFont val="Aptos Narrow"/>
            <family val="2"/>
            <scheme val="minor"/>
          </rPr>
          <t xml:space="preserve">Judy Hogel:
Lamps plus 194.88 issued credit for $21.69 to honor sale price. </t>
        </r>
      </text>
    </comment>
    <comment ref="J21" authorId="0" shapeId="0" xr:uid="{4FAB5377-A01F-4B28-8611-5110B620A668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Final Design made sent to all for approval 3/15
</t>
        </r>
      </text>
    </comment>
    <comment ref="P21" authorId="0" shapeId="0" xr:uid="{75862EAE-E8D3-44CA-BA8B-E466A0D2B683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ETA 6-8 week = 5/17 
</t>
        </r>
      </text>
    </comment>
    <comment ref="M25" authorId="0" shapeId="0" xr:uid="{39E9D6C8-BD7F-4EAA-AAD3-9CF04E93FE62}">
      <text>
        <r>
          <rPr>
            <sz val="11"/>
            <color theme="1"/>
            <rFont val="Aptos Narrow"/>
            <family val="2"/>
            <scheme val="minor"/>
          </rPr>
          <t xml:space="preserve">Judy Hogel:
Sent quote to Angie 3/12 
Counter table no backsplash square edging 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Hogel</author>
  </authors>
  <commentList>
    <comment ref="G21" authorId="0" shapeId="0" xr:uid="{2A09B9A4-3236-48EC-A433-CF66A2CB175B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$7200.00 + $400.00 for Ogee Edging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<sst xmlns="http://schemas.openxmlformats.org/spreadsheetml/2006/main" count="2994" uniqueCount="1350">
  <si>
    <t xml:space="preserve">Manufacturer </t>
  </si>
  <si>
    <t xml:space="preserve">Model # </t>
  </si>
  <si>
    <t xml:space="preserve">Description </t>
  </si>
  <si>
    <t xml:space="preserve">Image URL </t>
  </si>
  <si>
    <t xml:space="preserve">Finish/Color </t>
  </si>
  <si>
    <t xml:space="preserve">Vendor </t>
  </si>
  <si>
    <t xml:space="preserve">Ferguson </t>
  </si>
  <si>
    <t xml:space="preserve">Ferguson Home </t>
  </si>
  <si>
    <t xml:space="preserve">Home Depot </t>
  </si>
  <si>
    <t xml:space="preserve">Menards </t>
  </si>
  <si>
    <t xml:space="preserve">Lowes </t>
  </si>
  <si>
    <t xml:space="preserve">Standard Lumber </t>
  </si>
  <si>
    <t xml:space="preserve">Amazon </t>
  </si>
  <si>
    <t xml:space="preserve">ProSource Wholesale </t>
  </si>
  <si>
    <t xml:space="preserve">Lucky  Jackass </t>
  </si>
  <si>
    <t xml:space="preserve">CACJR Granite </t>
  </si>
  <si>
    <t>Manufacturer</t>
  </si>
  <si>
    <t xml:space="preserve">Kohler </t>
  </si>
  <si>
    <t xml:space="preserve">Moen </t>
  </si>
  <si>
    <t>Delta</t>
  </si>
  <si>
    <t xml:space="preserve">Signature </t>
  </si>
  <si>
    <t xml:space="preserve">American Standard </t>
  </si>
  <si>
    <t xml:space="preserve">Daltile  </t>
  </si>
  <si>
    <t xml:space="preserve">WW Woods </t>
  </si>
  <si>
    <t xml:space="preserve">ITEM </t>
  </si>
  <si>
    <t>Faucet</t>
  </si>
  <si>
    <t xml:space="preserve">Shower Trim </t>
  </si>
  <si>
    <t xml:space="preserve">Shower Arm </t>
  </si>
  <si>
    <t xml:space="preserve">Shower Head </t>
  </si>
  <si>
    <t xml:space="preserve">Shower Arm Diverter Valve </t>
  </si>
  <si>
    <t xml:space="preserve">Shower Handheld </t>
  </si>
  <si>
    <t xml:space="preserve">Shower Elbow </t>
  </si>
  <si>
    <t xml:space="preserve">Shower Vacuum Breaker </t>
  </si>
  <si>
    <t xml:space="preserve">Shower Handheld Slide Bar </t>
  </si>
  <si>
    <t>Shower Slide Bar Trim Kit</t>
  </si>
  <si>
    <t xml:space="preserve">Toilet </t>
  </si>
  <si>
    <t xml:space="preserve">Toilet Seat </t>
  </si>
  <si>
    <t xml:space="preserve">Toilet Tank Lever </t>
  </si>
  <si>
    <t xml:space="preserve">URL for PPT </t>
  </si>
  <si>
    <t>This is a list of material that the guys say are not Mega Standard</t>
  </si>
  <si>
    <t xml:space="preserve">Material Frequent Used - </t>
  </si>
  <si>
    <t xml:space="preserve">Date </t>
  </si>
  <si>
    <t xml:space="preserve">Item Description </t>
  </si>
  <si>
    <t xml:space="preserve">Vandor </t>
  </si>
  <si>
    <t xml:space="preserve">Cost from Them Plus 15% </t>
  </si>
  <si>
    <t xml:space="preserve">Model </t>
  </si>
  <si>
    <t>Panasonic 100 CFM 0.9 Sone Ceiling Mounted HVI Certified Exhaust Fan</t>
  </si>
  <si>
    <t>https://www.fergusonhome.com/panasonic-fv-0510vs1/s1286588?uid=3162516</t>
  </si>
  <si>
    <t xml:space="preserve">Service Plus </t>
  </si>
  <si>
    <t>Model # BLMC2432</t>
  </si>
  <si>
    <t>Panasonic 100 CFM 0.5 Sone Ceiling Mounted LED Lighted Exhaust Fan with Smart Flow Technology</t>
  </si>
  <si>
    <t>https://www.fergusonhome.com/panasonic-fv-0510vsl1/s1367152?uid=3217466</t>
  </si>
  <si>
    <t>Model: FV-0510VSL1</t>
  </si>
  <si>
    <t xml:space="preserve">Job </t>
  </si>
  <si>
    <t xml:space="preserve">Why </t>
  </si>
  <si>
    <t>Elega 24 in. W x 32 in. H Rectangular Aluminum Recessed/Wall Mount Dimmable Fogless Lighted Medicine Cabinet with Mirror</t>
  </si>
  <si>
    <t xml:space="preserve">Garwood </t>
  </si>
  <si>
    <t xml:space="preserve">Kohler Tub Spouts - </t>
  </si>
  <si>
    <t xml:space="preserve">Marr, Brummond </t>
  </si>
  <si>
    <t xml:space="preserve">all models </t>
  </si>
  <si>
    <t xml:space="preserve">No Slip Flipat install, tighting against the wall. Told Jason at Ferguson and Kohler doesn't make any other kind. </t>
  </si>
  <si>
    <t xml:space="preserve">Add-On Formula for Subs </t>
  </si>
  <si>
    <t xml:space="preserve">Example </t>
  </si>
  <si>
    <t xml:space="preserve">Material Costs </t>
  </si>
  <si>
    <t xml:space="preserve">Sub - Addon </t>
  </si>
  <si>
    <t xml:space="preserve">Bath Remodel </t>
  </si>
  <si>
    <t xml:space="preserve">Terry &amp; Stacey Vance </t>
  </si>
  <si>
    <t xml:space="preserve">Allowance </t>
  </si>
  <si>
    <t xml:space="preserve">Actual Cost </t>
  </si>
  <si>
    <t xml:space="preserve">Ordered Date </t>
  </si>
  <si>
    <t xml:space="preserve">Received &amp; Inspected Date </t>
  </si>
  <si>
    <t xml:space="preserve">Staging Location </t>
  </si>
  <si>
    <t xml:space="preserve">Return or Damaged Notes </t>
  </si>
  <si>
    <t>1. Selection Phase (Choosing materials and finishes)</t>
  </si>
  <si>
    <t xml:space="preserve">Powder Room </t>
  </si>
  <si>
    <t xml:space="preserve">Vanity  21 x 30 Hanover / Carbon </t>
  </si>
  <si>
    <t>Shiloh Order</t>
  </si>
  <si>
    <t xml:space="preserve">Hardware Handles </t>
  </si>
  <si>
    <t>K-26640-2MB</t>
  </si>
  <si>
    <t xml:space="preserve">Quartz Top  Back &amp; Side Splash SQUARE </t>
  </si>
  <si>
    <t xml:space="preserve">Calacatta Botanica </t>
  </si>
  <si>
    <t>CACJR Granite  Quote REQ 11/22</t>
  </si>
  <si>
    <t xml:space="preserve">Sink </t>
  </si>
  <si>
    <t>K-2209-0</t>
  </si>
  <si>
    <t xml:space="preserve">Faucet &amp; Drain </t>
  </si>
  <si>
    <t>K-22022-4-2MB</t>
  </si>
  <si>
    <t>K-30810-0</t>
  </si>
  <si>
    <t xml:space="preserve">Toilet Paper Holder </t>
  </si>
  <si>
    <t>K-21954-2MB</t>
  </si>
  <si>
    <t>Ferguson</t>
  </si>
  <si>
    <t xml:space="preserve">Towel Ring </t>
  </si>
  <si>
    <t>K-21955-2MB</t>
  </si>
  <si>
    <t xml:space="preserve">Mirror </t>
  </si>
  <si>
    <t xml:space="preserve">K-26050-BLG </t>
  </si>
  <si>
    <t xml:space="preserve">Vanity Light </t>
  </si>
  <si>
    <t>K-31757-S03-2GL</t>
  </si>
  <si>
    <t xml:space="preserve">Paint </t>
  </si>
  <si>
    <t xml:space="preserve">Paint 2 Colors Twilight 2058-10 &amp; Garytint 1611 </t>
  </si>
  <si>
    <t xml:space="preserve">Benjamin Moore </t>
  </si>
  <si>
    <t xml:space="preserve">Ceiling White </t>
  </si>
  <si>
    <t xml:space="preserve">Trim </t>
  </si>
  <si>
    <t xml:space="preserve">Doors &amp; BaseBoard </t>
  </si>
  <si>
    <t xml:space="preserve">4 Doors - 2 Panel Solid </t>
  </si>
  <si>
    <t xml:space="preserve">3- Door Knobs 2 passage 1 privacy </t>
  </si>
  <si>
    <t xml:space="preserve">1 Bi-Fold Knobs Matte Black </t>
  </si>
  <si>
    <t xml:space="preserve">Wayfair </t>
  </si>
  <si>
    <t xml:space="preserve">Total Allowances to Actual Costs </t>
  </si>
  <si>
    <t xml:space="preserve">Over Allowance Materials Add-On </t>
  </si>
  <si>
    <t xml:space="preserve">Total Allowances </t>
  </si>
  <si>
    <t>Basement Remodeling Selection, Ordering &amp; Receiving Checklist</t>
  </si>
  <si>
    <t xml:space="preserve">Christine Roloff 39337-THC Master Bath </t>
  </si>
  <si>
    <t xml:space="preserve">Allowances </t>
  </si>
  <si>
    <t xml:space="preserve">*** Permit Allowance - </t>
  </si>
  <si>
    <t xml:space="preserve">Electrical - Reccessed all </t>
  </si>
  <si>
    <t>LED recessed lights</t>
  </si>
  <si>
    <t xml:space="preserve">Electrical - Bath </t>
  </si>
  <si>
    <t xml:space="preserve">(2) Bath Exhusted Fan  </t>
  </si>
  <si>
    <t xml:space="preserve">(3) Wall Sconces </t>
  </si>
  <si>
    <t xml:space="preserve">S 2165BZ-CG </t>
  </si>
  <si>
    <t xml:space="preserve">Recessed Shower Light </t>
  </si>
  <si>
    <t xml:space="preserve">(2) Lighted 24 x 30 Medicine Cabinet over the sinks </t>
  </si>
  <si>
    <t>K-99007-TLC-NA</t>
  </si>
  <si>
    <t xml:space="preserve">Bathroom Plumbing </t>
  </si>
  <si>
    <t xml:space="preserve">Allowance for Bath </t>
  </si>
  <si>
    <t xml:space="preserve">Shower Double Handle Trim </t>
  </si>
  <si>
    <t>UT36111ORB</t>
  </si>
  <si>
    <t xml:space="preserve">Shower Valve </t>
  </si>
  <si>
    <t>U232CIS</t>
  </si>
  <si>
    <t>3638ORB</t>
  </si>
  <si>
    <t>10154ORB</t>
  </si>
  <si>
    <t xml:space="preserve">Shower Arm Flange </t>
  </si>
  <si>
    <t>M164745ORB</t>
  </si>
  <si>
    <t xml:space="preserve">Shower Handheld w/Slide Bar </t>
  </si>
  <si>
    <t>M3667EPORB</t>
  </si>
  <si>
    <t xml:space="preserve">Shower Wall Elbow Supply </t>
  </si>
  <si>
    <t>A725ORB</t>
  </si>
  <si>
    <t>MA714ORB</t>
  </si>
  <si>
    <t xml:space="preserve">Schulter Shower Drain Kit Oil Rubbed Bronze </t>
  </si>
  <si>
    <t xml:space="preserve">ProSource </t>
  </si>
  <si>
    <t>*** Toto Toilet Add-On</t>
  </si>
  <si>
    <t>TCST642CEFGAT4001</t>
  </si>
  <si>
    <t xml:space="preserve">Toilet Washlet + Bidet </t>
  </si>
  <si>
    <t>TSW4736AT4001</t>
  </si>
  <si>
    <t xml:space="preserve">(2) Sinks Undermount </t>
  </si>
  <si>
    <t>K-20000-0</t>
  </si>
  <si>
    <t xml:space="preserve">Quartz Top Calacatta Botanica - Square </t>
  </si>
  <si>
    <t xml:space="preserve">Cacjr Quartz </t>
  </si>
  <si>
    <t xml:space="preserve">(2) Faucet &amp; Drain Kit  </t>
  </si>
  <si>
    <t>MT6905ORB</t>
  </si>
  <si>
    <t xml:space="preserve">(2) Faucet Valves </t>
  </si>
  <si>
    <t>M9000</t>
  </si>
  <si>
    <t xml:space="preserve">Bath Tub Faucet with Handheld </t>
  </si>
  <si>
    <t>T694ORB</t>
  </si>
  <si>
    <t xml:space="preserve">Bath Tub Rough In </t>
  </si>
  <si>
    <t>Shower &amp; Bath Tile</t>
  </si>
  <si>
    <t xml:space="preserve">Schulter Kerdi Shower Tray  </t>
  </si>
  <si>
    <t xml:space="preserve">Included </t>
  </si>
  <si>
    <t xml:space="preserve">Schulter Shower Curb  </t>
  </si>
  <si>
    <t xml:space="preserve">Schulter Kerdi Right &amp; Left Corners </t>
  </si>
  <si>
    <t xml:space="preserve">Shower Base Tile 15  Sq Ft </t>
  </si>
  <si>
    <t xml:space="preserve">Shower Wall Tile 120  Sq Ft </t>
  </si>
  <si>
    <t xml:space="preserve">Bath Floor Tile 120 Sq Ft </t>
  </si>
  <si>
    <t xml:space="preserve">Tub Deck Area Tile 100 Sq FT </t>
  </si>
  <si>
    <t xml:space="preserve">Schulter Edging 32 Linear Ft = 5 pieces </t>
  </si>
  <si>
    <t xml:space="preserve">ProSource  w/tile </t>
  </si>
  <si>
    <t xml:space="preserve">Quartz caps for shower curb, seat, 3 Shelfs tub wall area  and niche All QUARTZ </t>
  </si>
  <si>
    <t xml:space="preserve"> - Grout to match all Smoke Grey - 89  (2 bags)  </t>
  </si>
  <si>
    <t>Floor &amp; Décor</t>
  </si>
  <si>
    <t xml:space="preserve"> - Caulk to match all Smoke Grey - 89</t>
  </si>
  <si>
    <t xml:space="preserve">Bathroom Finish Trim </t>
  </si>
  <si>
    <t>4 1/4" Colonial floor base and shoe molding</t>
  </si>
  <si>
    <t xml:space="preserve">Vanity Wall Cabinets </t>
  </si>
  <si>
    <t>Shiloh</t>
  </si>
  <si>
    <t xml:space="preserve">Quartz Top </t>
  </si>
  <si>
    <t>Hanging mirror</t>
  </si>
  <si>
    <t xml:space="preserve">Moen Voss 24" Towel Bar 2 </t>
  </si>
  <si>
    <t>YB5124ORB</t>
  </si>
  <si>
    <t xml:space="preserve">Noted Judy Picked up </t>
  </si>
  <si>
    <t>Moen Voss Robe Hooks -3</t>
  </si>
  <si>
    <t>YB5103ORB</t>
  </si>
  <si>
    <t xml:space="preserve">Left on office </t>
  </si>
  <si>
    <t>Moen Voss Towel Ring -2</t>
  </si>
  <si>
    <t>YB5186ORB</t>
  </si>
  <si>
    <t xml:space="preserve">Counter </t>
  </si>
  <si>
    <t xml:space="preserve">Moen Voss Toilet Paper Holder </t>
  </si>
  <si>
    <t>YB5108ORB</t>
  </si>
  <si>
    <t>Bath Shower Enclose</t>
  </si>
  <si>
    <t xml:space="preserve"> Glass shower door enclosure </t>
  </si>
  <si>
    <t xml:space="preserve">*** Add-on Master Toillet Bidet (Lighted Electric outlet) </t>
  </si>
  <si>
    <t xml:space="preserve">****Note move exsisting toilet to guest bath </t>
  </si>
  <si>
    <t>Basement Remodeling Selection &amp; Ordering Checklist</t>
  </si>
  <si>
    <t xml:space="preserve">General Plumbing Supply (fergusonn out of stock) </t>
  </si>
  <si>
    <t xml:space="preserve">Larry &amp; Sue Kelly 39402-THC </t>
  </si>
  <si>
    <t xml:space="preserve"> Selection Complete Date </t>
  </si>
  <si>
    <t xml:space="preserve">Island </t>
  </si>
  <si>
    <t xml:space="preserve">Custom Shiloh Island </t>
  </si>
  <si>
    <t xml:space="preserve">* Maple Cayenne </t>
  </si>
  <si>
    <t xml:space="preserve">Shiloh </t>
  </si>
  <si>
    <t xml:space="preserve">Quartz Top Full Height Backsplash </t>
  </si>
  <si>
    <t xml:space="preserve">Note: Not Full Height in Contract $10.00 SQ FT </t>
  </si>
  <si>
    <t xml:space="preserve">*Half Bull Nose RD Corner Overhang Edge </t>
  </si>
  <si>
    <t>Cabinet Hardware</t>
  </si>
  <si>
    <t xml:space="preserve">* 24 Knobs / 14 Pulls </t>
  </si>
  <si>
    <t xml:space="preserve">6" Crown Molding (Travis to get) </t>
  </si>
  <si>
    <t>Est 5.00 Sq Ft</t>
  </si>
  <si>
    <t xml:space="preserve">Sink - Singel Bowl White Composite </t>
  </si>
  <si>
    <t xml:space="preserve">Faucet </t>
  </si>
  <si>
    <t xml:space="preserve">General Plumbing Supply  (Ferguson out of Stock) </t>
  </si>
  <si>
    <t xml:space="preserve">Garbage Disposal Drain </t>
  </si>
  <si>
    <t xml:space="preserve">Southern Pipe </t>
  </si>
  <si>
    <t xml:space="preserve">(1) Dining Table Light Fixtures </t>
  </si>
  <si>
    <t xml:space="preserve">(2) Flush Mount Light Fixtures </t>
  </si>
  <si>
    <t xml:space="preserve">(1) Replace Can with Flush Mount </t>
  </si>
  <si>
    <t xml:space="preserve">Matthew &amp; Amy Cannan </t>
  </si>
  <si>
    <t>Model #</t>
  </si>
  <si>
    <t xml:space="preserve">Permit </t>
  </si>
  <si>
    <t xml:space="preserve">Excerise Room </t>
  </si>
  <si>
    <t xml:space="preserve">Customer Selected Ceiling </t>
  </si>
  <si>
    <t xml:space="preserve">Door casing and Floor Base </t>
  </si>
  <si>
    <t xml:space="preserve">Rubber Flooring  In add-on </t>
  </si>
  <si>
    <t xml:space="preserve">In Addon  Aount </t>
  </si>
  <si>
    <t xml:space="preserve">Lighting - </t>
  </si>
  <si>
    <t>Jack &amp; Jill Bath - Total Allowance $7,200.00</t>
  </si>
  <si>
    <t>Shower Valve</t>
  </si>
  <si>
    <t xml:space="preserve">Shower 2 handle  Trim &amp; Valve </t>
  </si>
  <si>
    <t>UTS9211BG</t>
  </si>
  <si>
    <t>3638BG</t>
  </si>
  <si>
    <t>S122BG</t>
  </si>
  <si>
    <t>220H5BG</t>
  </si>
  <si>
    <t>155746BG</t>
  </si>
  <si>
    <t xml:space="preserve">Shower Wall Elbow </t>
  </si>
  <si>
    <t>A725BG</t>
  </si>
  <si>
    <t xml:space="preserve">Shower Breaker Vacuum </t>
  </si>
  <si>
    <t>K-9660-2MB</t>
  </si>
  <si>
    <t xml:space="preserve">Shower Drain (Schulter) </t>
  </si>
  <si>
    <t xml:space="preserve">Toilet Tank </t>
  </si>
  <si>
    <t>K-20450-0</t>
  </si>
  <si>
    <t xml:space="preserve">Toilet Bowl Skirted </t>
  </si>
  <si>
    <t>K-20485-0</t>
  </si>
  <si>
    <t>K-26801-0</t>
  </si>
  <si>
    <t xml:space="preserve">2 Widespread  Faucets </t>
  </si>
  <si>
    <t>TS44102BG</t>
  </si>
  <si>
    <t xml:space="preserve">2 Widespread  Faucets Valves &amp; Drains </t>
  </si>
  <si>
    <t>M-9000</t>
  </si>
  <si>
    <t xml:space="preserve">2 Sinks (18" Vanity) </t>
  </si>
  <si>
    <t>Electric</t>
  </si>
  <si>
    <t xml:space="preserve">2 Vanity Lights </t>
  </si>
  <si>
    <t xml:space="preserve">Exhaust Fan (Service Plus) </t>
  </si>
  <si>
    <t>Service Plus</t>
  </si>
  <si>
    <t xml:space="preserve">Recessed Shower Light (Service Plus) </t>
  </si>
  <si>
    <t xml:space="preserve">GFCI Switches outlets and cover plates  (Service Plus) </t>
  </si>
  <si>
    <t xml:space="preserve">J &amp; J Floor Tile </t>
  </si>
  <si>
    <t xml:space="preserve">Tile 72 SQ FT 12" x 24" </t>
  </si>
  <si>
    <t xml:space="preserve">See TTL ProSource </t>
  </si>
  <si>
    <t xml:space="preserve">3" x 24" Bull Nose Base Board 28 LN FT </t>
  </si>
  <si>
    <t xml:space="preserve">Grout &amp; Caulk </t>
  </si>
  <si>
    <t xml:space="preserve">J &amp; J Shower Tile </t>
  </si>
  <si>
    <t xml:space="preserve">Tile Walls 95 SQ FT 12" x 36" EDEN </t>
  </si>
  <si>
    <t xml:space="preserve">Floor &amp; Niche MSI 1" Mosaic </t>
  </si>
  <si>
    <t xml:space="preserve">Schulter Edge - White to match </t>
  </si>
  <si>
    <t xml:space="preserve">Quartz Caps </t>
  </si>
  <si>
    <t>CACJR Granite</t>
  </si>
  <si>
    <t xml:space="preserve">Vanity </t>
  </si>
  <si>
    <t xml:space="preserve">63" Vanity  and 2 - 15" </t>
  </si>
  <si>
    <t>WW Woods Shiloh</t>
  </si>
  <si>
    <t>Quartz Top Calacatta Botanica / Square</t>
  </si>
  <si>
    <t xml:space="preserve">2 Mirrors </t>
  </si>
  <si>
    <t xml:space="preserve">Towel Bars </t>
  </si>
  <si>
    <t xml:space="preserve">Towel Rings </t>
  </si>
  <si>
    <t xml:space="preserve">TP Holder </t>
  </si>
  <si>
    <t xml:space="preserve">Shower Door </t>
  </si>
  <si>
    <t xml:space="preserve">42" x 76" Shower Door </t>
  </si>
  <si>
    <t xml:space="preserve">Master Bath </t>
  </si>
  <si>
    <t>K-8304-KS-NA</t>
  </si>
  <si>
    <t xml:space="preserve">Shower Head &amp; Trim </t>
  </si>
  <si>
    <t>K-TS14422-4-BV</t>
  </si>
  <si>
    <t xml:space="preserve">Diverter Trim </t>
  </si>
  <si>
    <t>K-T14491-4-BV</t>
  </si>
  <si>
    <t xml:space="preserve">Diverter Valve </t>
  </si>
  <si>
    <t>K728-K-NA</t>
  </si>
  <si>
    <t xml:space="preserve">Hand Held </t>
  </si>
  <si>
    <t xml:space="preserve">K-221178-BV </t>
  </si>
  <si>
    <t xml:space="preserve">Elbow </t>
  </si>
  <si>
    <t xml:space="preserve">K-22172-BV </t>
  </si>
  <si>
    <t xml:space="preserve">Vacuum Breaker </t>
  </si>
  <si>
    <t xml:space="preserve">K-9660-BV </t>
  </si>
  <si>
    <t xml:space="preserve">Shower Drain (Schulter ) </t>
  </si>
  <si>
    <t xml:space="preserve">Soaker Tub </t>
  </si>
  <si>
    <t>SH462576</t>
  </si>
  <si>
    <t xml:space="preserve">Soaker Tub Drain Roughin </t>
  </si>
  <si>
    <t xml:space="preserve">SH653PVC </t>
  </si>
  <si>
    <t xml:space="preserve">Soaker Tub Filler w/Diverter </t>
  </si>
  <si>
    <t xml:space="preserve">K-T97328-4-BV </t>
  </si>
  <si>
    <t xml:space="preserve">Tub Filler Mount </t>
  </si>
  <si>
    <t>K-97339-NA</t>
  </si>
  <si>
    <t xml:space="preserve">2- Sinks </t>
  </si>
  <si>
    <t xml:space="preserve">2 - Faucet &amp; Drain kit </t>
  </si>
  <si>
    <t xml:space="preserve">K-14406-BV </t>
  </si>
  <si>
    <t xml:space="preserve">Supply House </t>
  </si>
  <si>
    <t>K-20250-0</t>
  </si>
  <si>
    <t xml:space="preserve">Skirted Toilet Bowl </t>
  </si>
  <si>
    <t xml:space="preserve">Electrical </t>
  </si>
  <si>
    <t xml:space="preserve">2 - Exhaust Fans </t>
  </si>
  <si>
    <t xml:space="preserve">4 Wall Sconces </t>
  </si>
  <si>
    <t xml:space="preserve">Ceiling Light Fixture </t>
  </si>
  <si>
    <t>Shower Recessed Can</t>
  </si>
  <si>
    <t xml:space="preserve">2 Recessed Cans in Bathroom </t>
  </si>
  <si>
    <t xml:space="preserve">Light Switches GCFI Plates </t>
  </si>
  <si>
    <t xml:space="preserve">Serivice plus </t>
  </si>
  <si>
    <t xml:space="preserve">Master Floor Tile </t>
  </si>
  <si>
    <t>Tile: Floor, Shower Walls &amp; Ceiling</t>
  </si>
  <si>
    <t xml:space="preserve">See ProSource TTL </t>
  </si>
  <si>
    <t>Soaker Tub Tile Area</t>
  </si>
  <si>
    <t xml:space="preserve">Soaker Tub Area Tile </t>
  </si>
  <si>
    <t xml:space="preserve">Master Shower Tile </t>
  </si>
  <si>
    <t xml:space="preserve">Shower base Tile &amp; Niche 3 x 3  27 Sq Ft </t>
  </si>
  <si>
    <t xml:space="preserve">Bull Nose 156 LN FT </t>
  </si>
  <si>
    <t xml:space="preserve">with CACJR </t>
  </si>
  <si>
    <t xml:space="preserve">2 - 60" Vanities  2-Towers </t>
  </si>
  <si>
    <t xml:space="preserve">WW Woods Shiloh </t>
  </si>
  <si>
    <t xml:space="preserve">Master Shower Glass </t>
  </si>
  <si>
    <t xml:space="preserve">Shower Glass </t>
  </si>
  <si>
    <t xml:space="preserve">ProSource Invoice all tile for all rooms </t>
  </si>
  <si>
    <t xml:space="preserve">Pink Guest Bath </t>
  </si>
  <si>
    <t xml:space="preserve">Electric </t>
  </si>
  <si>
    <t xml:space="preserve">Exhaust Fan </t>
  </si>
  <si>
    <t xml:space="preserve">48" x 76" Shower Door </t>
  </si>
  <si>
    <t xml:space="preserve">**Addon  Tile Floor - Replace Shower Fixtures, Faucet - Allowanes </t>
  </si>
  <si>
    <t xml:space="preserve">Faucet - Single Handle </t>
  </si>
  <si>
    <t>M-6903BN</t>
  </si>
  <si>
    <t>T3691BN</t>
  </si>
  <si>
    <t>CL10154BN</t>
  </si>
  <si>
    <t>S6365BN</t>
  </si>
  <si>
    <t xml:space="preserve">CL703 BN </t>
  </si>
  <si>
    <t>220H5BN</t>
  </si>
  <si>
    <t xml:space="preserve">Shower El </t>
  </si>
  <si>
    <t>A725BN</t>
  </si>
  <si>
    <t xml:space="preserve">K-9660-BN </t>
  </si>
  <si>
    <t xml:space="preserve">K-8524-BN </t>
  </si>
  <si>
    <t xml:space="preserve">K-974-BN </t>
  </si>
  <si>
    <t xml:space="preserve">Guest Bath Tile Floor </t>
  </si>
  <si>
    <t xml:space="preserve">In ProSource Total </t>
  </si>
  <si>
    <t xml:space="preserve">Guest Bath Tile Bull Nose Base </t>
  </si>
  <si>
    <t>Change Order #1  Guest Bath $14,153.00</t>
  </si>
  <si>
    <t xml:space="preserve">Guest Bath Floor Tile </t>
  </si>
  <si>
    <t xml:space="preserve">Guest Bath Bull Nose Base </t>
  </si>
  <si>
    <t xml:space="preserve">Shower Trims &amp; Faucet </t>
  </si>
  <si>
    <t>Change Order  #2  Exercise Room  $11,318.00</t>
  </si>
  <si>
    <t xml:space="preserve">Rubber Puzzle Flooring  </t>
  </si>
  <si>
    <t xml:space="preserve">Lighting </t>
  </si>
  <si>
    <t>Change Order #3  Basement &amp; Son's Bedroom Paint $8,356.00</t>
  </si>
  <si>
    <t>Change Order #4 Credit Tuckpointing &amp; Masonry -$9,000.00</t>
  </si>
  <si>
    <t xml:space="preserve">Roberta Rhoda Bath </t>
  </si>
  <si>
    <t xml:space="preserve">No Permit </t>
  </si>
  <si>
    <t xml:space="preserve">Bath </t>
  </si>
  <si>
    <t xml:space="preserve">SAVE Toilet - RESET </t>
  </si>
  <si>
    <t xml:space="preserve">Undermount Sink </t>
  </si>
  <si>
    <t xml:space="preserve">in ferguson order </t>
  </si>
  <si>
    <t>48 x21 Quartz Back Splash Carrara Breve 
Edging: Half Bull Nose</t>
  </si>
  <si>
    <t>REQ 11/11/25</t>
  </si>
  <si>
    <t xml:space="preserve">3 New Mirrors for medicine Cabinet </t>
  </si>
  <si>
    <t xml:space="preserve">Glass company </t>
  </si>
  <si>
    <t xml:space="preserve">2 Towel Bars </t>
  </si>
  <si>
    <t xml:space="preserve">Knobs for all cabinets 8 </t>
  </si>
  <si>
    <t>in home depot order</t>
  </si>
  <si>
    <t>T.P. Holder Recesed BN</t>
  </si>
  <si>
    <t xml:space="preserve">Flooring </t>
  </si>
  <si>
    <t>LVT - Lifeproof Ivory  57 Sq Ft</t>
  </si>
  <si>
    <t xml:space="preserve">T-Molding </t>
  </si>
  <si>
    <t>Cabinet</t>
  </si>
  <si>
    <t xml:space="preserve">Utility Broom Closet </t>
  </si>
  <si>
    <t xml:space="preserve">Cost  4034.52 </t>
  </si>
  <si>
    <t xml:space="preserve">Lock for Cabinet </t>
  </si>
  <si>
    <t xml:space="preserve">Rockler (Hinges &amp; Lock) </t>
  </si>
  <si>
    <t xml:space="preserve">Mirror Hinges </t>
  </si>
  <si>
    <t xml:space="preserve">w/ Rockler order </t>
  </si>
  <si>
    <t xml:space="preserve">3 1/4 Colinial Baseboard &amp; Shoe </t>
  </si>
  <si>
    <t xml:space="preserve">Painting </t>
  </si>
  <si>
    <t xml:space="preserve">Ceiling &amp; Walls </t>
  </si>
  <si>
    <t xml:space="preserve">Eletric </t>
  </si>
  <si>
    <t xml:space="preserve">Light 4 Blub </t>
  </si>
  <si>
    <t xml:space="preserve">Idlewood Electric </t>
  </si>
  <si>
    <t>Exhaust Fan FV-0510VSL1</t>
  </si>
  <si>
    <t xml:space="preserve">in Feruson Order </t>
  </si>
  <si>
    <t xml:space="preserve">ADD On Replace </t>
  </si>
  <si>
    <t xml:space="preserve">hand Held In Shower </t>
  </si>
  <si>
    <t xml:space="preserve">64.42. plus tax </t>
  </si>
  <si>
    <t xml:space="preserve">Denise Garwood Bath </t>
  </si>
  <si>
    <t xml:space="preserve">SAVE Towel Bar - RESET </t>
  </si>
  <si>
    <t xml:space="preserve">Faucet &amp; Pedestral sink </t>
  </si>
  <si>
    <t xml:space="preserve">Home Depot Ordered </t>
  </si>
  <si>
    <t xml:space="preserve">Lighted Medicine Cabinet </t>
  </si>
  <si>
    <t xml:space="preserve">with sink and faucet </t>
  </si>
  <si>
    <t xml:space="preserve">Home Depot ordered </t>
  </si>
  <si>
    <t>LVT - Lifeproof 25sq est</t>
  </si>
  <si>
    <t xml:space="preserve">HomeDepot Ordered </t>
  </si>
  <si>
    <t xml:space="preserve">Feldstar </t>
  </si>
  <si>
    <t xml:space="preserve">Wall tile </t>
  </si>
  <si>
    <t xml:space="preserve">Tile on Sink Wall 18 Sq Ft Est </t>
  </si>
  <si>
    <t xml:space="preserve">Tile Edging  added for replacing all </t>
  </si>
  <si>
    <t xml:space="preserve">additional wall tile </t>
  </si>
  <si>
    <t xml:space="preserve">Adjustable Shower Door 60" EST </t>
  </si>
  <si>
    <t>Kitchen Remodeling Selection &amp; Ordering Checklist</t>
  </si>
  <si>
    <t xml:space="preserve">Tom &amp; Laura Garvin 39007-THC </t>
  </si>
  <si>
    <t xml:space="preserve">Damaged or Returns Notes </t>
  </si>
  <si>
    <t xml:space="preserve">Kitchen </t>
  </si>
  <si>
    <t>Allowances $25,910.00</t>
  </si>
  <si>
    <t xml:space="preserve">Cabinets </t>
  </si>
  <si>
    <t xml:space="preserve">Cabinet Selection (Material, finish, style) </t>
  </si>
  <si>
    <t>Crown molding on cabinets Small Trim</t>
  </si>
  <si>
    <t xml:space="preserve">Hardware for Cabinets: Quanity </t>
  </si>
  <si>
    <t xml:space="preserve">Quartz </t>
  </si>
  <si>
    <t xml:space="preserve">Countertop - No Backsplash   Sparkling White </t>
  </si>
  <si>
    <t xml:space="preserve">Cacjr Granite </t>
  </si>
  <si>
    <t xml:space="preserve">Schulter Edging -  </t>
  </si>
  <si>
    <t>No Backsplash</t>
  </si>
  <si>
    <t xml:space="preserve">Island Counter Stellar White </t>
  </si>
  <si>
    <t xml:space="preserve">Backsplash Tile  MSI Renzo </t>
  </si>
  <si>
    <t xml:space="preserve">NRENJAD3X12 GLOSSY </t>
  </si>
  <si>
    <t xml:space="preserve">Tile Edging </t>
  </si>
  <si>
    <t>Sink -</t>
  </si>
  <si>
    <t xml:space="preserve">Garbage Disposal </t>
  </si>
  <si>
    <t xml:space="preserve">** R/O Faucet </t>
  </si>
  <si>
    <t xml:space="preserve">Amazon (Out of stock Ferguson) </t>
  </si>
  <si>
    <t xml:space="preserve">** Remove and Reinstall Custome R/O System </t>
  </si>
  <si>
    <t xml:space="preserve">Kitchen Floor LVT Sonia Marble VV872 166 Sq Ft </t>
  </si>
  <si>
    <t xml:space="preserve">t-Strip Garage Door </t>
  </si>
  <si>
    <t xml:space="preserve">Asked Lou if needed </t>
  </si>
  <si>
    <t xml:space="preserve">Dining Room Transition Wood Custom </t>
  </si>
  <si>
    <t xml:space="preserve">Light Switches &amp; Outlets per Code </t>
  </si>
  <si>
    <t>7 Recessed Can Lights</t>
  </si>
  <si>
    <t>* Fixture over Sink</t>
  </si>
  <si>
    <t>Idlewood</t>
  </si>
  <si>
    <t xml:space="preserve">Kitchen Island </t>
  </si>
  <si>
    <t xml:space="preserve">All material in Add-on amount </t>
  </si>
  <si>
    <t xml:space="preserve">Cabinets Movable Island </t>
  </si>
  <si>
    <t xml:space="preserve">Quartz Top - Stellar White Square Edge </t>
  </si>
  <si>
    <t xml:space="preserve">CACJR  Granite </t>
  </si>
  <si>
    <t xml:space="preserve">Handles </t>
  </si>
  <si>
    <t xml:space="preserve">Rev-A Shelf for Garbage </t>
  </si>
  <si>
    <t xml:space="preserve">Wheels - </t>
  </si>
  <si>
    <t xml:space="preserve">Lower Bathroom </t>
  </si>
  <si>
    <t>Allowances $9,200.00</t>
  </si>
  <si>
    <t xml:space="preserve">LVT  Coretec Bianco Marble 55 SQ FT </t>
  </si>
  <si>
    <t>matching transition strips-hardwood to lvp @ 6'</t>
  </si>
  <si>
    <t xml:space="preserve">Shower </t>
  </si>
  <si>
    <t xml:space="preserve">Sentrel System </t>
  </si>
  <si>
    <t xml:space="preserve">Sentrel  (Lou) </t>
  </si>
  <si>
    <t xml:space="preserve">Shower Base &amp; Drain </t>
  </si>
  <si>
    <t>Home Depot (Lou)</t>
  </si>
  <si>
    <t xml:space="preserve">Quartz Top 42" Soapstone Metropolis Square </t>
  </si>
  <si>
    <t>K-22020-4-CP</t>
  </si>
  <si>
    <t xml:space="preserve">Fergusson </t>
  </si>
  <si>
    <t xml:space="preserve">Vanity light </t>
  </si>
  <si>
    <t xml:space="preserve">Idelwood </t>
  </si>
  <si>
    <t xml:space="preserve">Ceiling Light </t>
  </si>
  <si>
    <t xml:space="preserve">Mirror Medicine Cabinet </t>
  </si>
  <si>
    <t>Shower Fixures / Trim</t>
  </si>
  <si>
    <t>K-TS24617-4-CP</t>
  </si>
  <si>
    <t xml:space="preserve">Shower Fixures / Valve </t>
  </si>
  <si>
    <t xml:space="preserve">Shower Fixture / Head </t>
  </si>
  <si>
    <t xml:space="preserve">K-23218-CP </t>
  </si>
  <si>
    <t xml:space="preserve">Shower Fixture / Arm </t>
  </si>
  <si>
    <t>K-7397-CP</t>
  </si>
  <si>
    <t xml:space="preserve">Shower Vacumn </t>
  </si>
  <si>
    <t xml:space="preserve">K-9660-CP </t>
  </si>
  <si>
    <t xml:space="preserve">Grab Bar </t>
  </si>
  <si>
    <t xml:space="preserve">K-24550-CP </t>
  </si>
  <si>
    <t xml:space="preserve">Toilet paper Holder </t>
  </si>
  <si>
    <t>K-21954-CP</t>
  </si>
  <si>
    <t>K-21955-CP</t>
  </si>
  <si>
    <t xml:space="preserve">Towel Bar </t>
  </si>
  <si>
    <t>K-21953-CP</t>
  </si>
  <si>
    <t xml:space="preserve">Toilet  </t>
  </si>
  <si>
    <t xml:space="preserve">Upstairs Bath </t>
  </si>
  <si>
    <t xml:space="preserve">Allowance $6,750 </t>
  </si>
  <si>
    <t xml:space="preserve">LVT  Coretec Iona Stone 90 SQ FT </t>
  </si>
  <si>
    <t>VV872-12266</t>
  </si>
  <si>
    <t xml:space="preserve">Tub / Shower </t>
  </si>
  <si>
    <t xml:space="preserve"> Shower Trims </t>
  </si>
  <si>
    <t xml:space="preserve">Shower Rod &amp; Curtain </t>
  </si>
  <si>
    <t xml:space="preserve">Shower Fixtures / Tub Spot </t>
  </si>
  <si>
    <t xml:space="preserve">K-27422-CP </t>
  </si>
  <si>
    <t xml:space="preserve">K-TS23954-CP </t>
  </si>
  <si>
    <t xml:space="preserve">*** Add-on Toilet </t>
  </si>
  <si>
    <t xml:space="preserve">*** Add on Tub (Cost in addon ) </t>
  </si>
  <si>
    <t xml:space="preserve">K-716-0 </t>
  </si>
  <si>
    <t xml:space="preserve">*** Add on Tub Drain  (Cost in addon ) </t>
  </si>
  <si>
    <t xml:space="preserve">K-73213-CP </t>
  </si>
  <si>
    <t>K-27415-4-CP</t>
  </si>
  <si>
    <t xml:space="preserve">Idlewood </t>
  </si>
  <si>
    <t xml:space="preserve">Quartz Top - Fossil Gray </t>
  </si>
  <si>
    <t xml:space="preserve">Mirror SAVE TO CUT DOWN </t>
  </si>
  <si>
    <t>K-27429-CP</t>
  </si>
  <si>
    <t xml:space="preserve">Towel Bars (3)  </t>
  </si>
  <si>
    <t>K-27426-CP</t>
  </si>
  <si>
    <t xml:space="preserve">** Add on 2nd Floor Walls - Sentrel Azzura Bay </t>
  </si>
  <si>
    <t xml:space="preserve">Sentrel (Lou) </t>
  </si>
  <si>
    <t xml:space="preserve">Add-on </t>
  </si>
  <si>
    <t xml:space="preserve">Change Order #1 Siding, Kitchen Door ProVia </t>
  </si>
  <si>
    <t xml:space="preserve">Change Order #2 Permit addtional Costs </t>
  </si>
  <si>
    <t xml:space="preserve">Change Order #3 2nd Story Bath Shower allowance 1600.00 </t>
  </si>
  <si>
    <t xml:space="preserve">Change Order #4 Island Includes Material </t>
  </si>
  <si>
    <t xml:space="preserve">Change Order #5 Electric Pnael 100 AMP Large and CO2 </t>
  </si>
  <si>
    <t xml:space="preserve">Not approved </t>
  </si>
  <si>
    <t xml:space="preserve">Change Order #6 Electric AMP 200 Upgrade </t>
  </si>
  <si>
    <t xml:space="preserve">Change Order #7 Electric Switching Under Cabinet </t>
  </si>
  <si>
    <t xml:space="preserve">Change Order #8 Plumbing Basement </t>
  </si>
  <si>
    <t xml:space="preserve">Change Order #9 Tub Upper Bath Material &amp; labor </t>
  </si>
  <si>
    <t xml:space="preserve">Total Customer Selected Items </t>
  </si>
  <si>
    <t xml:space="preserve">Vince Conforti 38894-CJC </t>
  </si>
  <si>
    <t xml:space="preserve">Bath Add-ON </t>
  </si>
  <si>
    <t xml:space="preserve">Faucet  - Ferguson Order </t>
  </si>
  <si>
    <t xml:space="preserve">LVT - Lifeproof Chiffon Lace </t>
  </si>
  <si>
    <t xml:space="preserve">Home Depot w/hardware </t>
  </si>
  <si>
    <t>14 Stairs</t>
  </si>
  <si>
    <t xml:space="preserve">Doors </t>
  </si>
  <si>
    <t xml:space="preserve">6 - Panel </t>
  </si>
  <si>
    <t xml:space="preserve">3 passage handles Satin Chrome </t>
  </si>
  <si>
    <t xml:space="preserve">1 Privacy handle Satin Chrome </t>
  </si>
  <si>
    <t xml:space="preserve">3 hinged door stops </t>
  </si>
  <si>
    <t xml:space="preserve">3 Spring door stop chrome </t>
  </si>
  <si>
    <t xml:space="preserve">Door casing, Trim baseboard </t>
  </si>
  <si>
    <t xml:space="preserve">Bill &amp; Kathy Schauer </t>
  </si>
  <si>
    <t xml:space="preserve">Hall bath </t>
  </si>
  <si>
    <t xml:space="preserve">Shower Base </t>
  </si>
  <si>
    <t xml:space="preserve">Shower Doors </t>
  </si>
  <si>
    <t xml:space="preserve">Ferguson Order </t>
  </si>
  <si>
    <t xml:space="preserve">Shower Hand Held and Head </t>
  </si>
  <si>
    <t xml:space="preserve">Grab Bars - 3 shower, 1 Toilet area </t>
  </si>
  <si>
    <t xml:space="preserve">*** Toilet SAVE &amp; RESET </t>
  </si>
  <si>
    <t xml:space="preserve">Vanity 18 x 30 </t>
  </si>
  <si>
    <t>Additional Wall Doors 5</t>
  </si>
  <si>
    <t xml:space="preserve">Cabinet order </t>
  </si>
  <si>
    <t xml:space="preserve">Hardware knobs for all </t>
  </si>
  <si>
    <t xml:space="preserve">***Custom mirror to match </t>
  </si>
  <si>
    <t xml:space="preserve">need mirror cost </t>
  </si>
  <si>
    <t xml:space="preserve">Shiloh &amp; Glass Company </t>
  </si>
  <si>
    <t xml:space="preserve">*****Door Front Glass Ready $432.00 </t>
  </si>
  <si>
    <t xml:space="preserve">*****NEED Mirror from Glass Guy </t>
  </si>
  <si>
    <t xml:space="preserve">Quartz Top &amp; shower Pcs. Mystic Gray /white for sill </t>
  </si>
  <si>
    <t xml:space="preserve">*** Full Bull Nose Extra Charge </t>
  </si>
  <si>
    <t>Ferguson order</t>
  </si>
  <si>
    <t xml:space="preserve">Tile </t>
  </si>
  <si>
    <t xml:space="preserve">Shower Wall Tile 98 SQ Ft </t>
  </si>
  <si>
    <t>Floor Tile 30 SQ FT</t>
  </si>
  <si>
    <t xml:space="preserve">with Wall order </t>
  </si>
  <si>
    <t xml:space="preserve">5 Pcs Schulter Edging </t>
  </si>
  <si>
    <t xml:space="preserve">Grout - Mink 25 + 10 lbs </t>
  </si>
  <si>
    <t xml:space="preserve">Floor &amp; Décor </t>
  </si>
  <si>
    <t xml:space="preserve">(1) Caulk - Mink </t>
  </si>
  <si>
    <t xml:space="preserve">Towel bars &amp; Toilet Paper </t>
  </si>
  <si>
    <t xml:space="preserve">Paint MATCH Light on top / Darker on Bottom </t>
  </si>
  <si>
    <t xml:space="preserve">Sherwin Williams </t>
  </si>
  <si>
    <t xml:space="preserve">Chair Rail MATCH Paint MATCH </t>
  </si>
  <si>
    <t xml:space="preserve">ADD-ON </t>
  </si>
  <si>
    <t xml:space="preserve">*** Shower Door Clear Glass </t>
  </si>
  <si>
    <t xml:space="preserve">Ferguson DEL 11/21 Rush </t>
  </si>
  <si>
    <t xml:space="preserve">Main Bath </t>
  </si>
  <si>
    <t xml:space="preserve">Quartz - Mystic Gray Full Bull Nose </t>
  </si>
  <si>
    <t>Bath Remodeling Selection &amp; Ordering Checklist</t>
  </si>
  <si>
    <t xml:space="preserve">Barb Marr 38827-THC </t>
  </si>
  <si>
    <t xml:space="preserve">Start Material Package </t>
  </si>
  <si>
    <t xml:space="preserve">Plumbing Fixtures </t>
  </si>
  <si>
    <t xml:space="preserve">Shower Handle Trim  </t>
  </si>
  <si>
    <t xml:space="preserve">Shower Transfer Trim </t>
  </si>
  <si>
    <t xml:space="preserve">Shower Transfer Valve </t>
  </si>
  <si>
    <t xml:space="preserve">Hand Held Shower with Rod </t>
  </si>
  <si>
    <t xml:space="preserve">Hand held Wall Elbow </t>
  </si>
  <si>
    <t xml:space="preserve">Hand Held Vacuum Breaker </t>
  </si>
  <si>
    <t xml:space="preserve">Bathtub </t>
  </si>
  <si>
    <t xml:space="preserve">Bathtub Drain </t>
  </si>
  <si>
    <t xml:space="preserve">2 Hooks </t>
  </si>
  <si>
    <t xml:space="preserve">Toilet lever </t>
  </si>
  <si>
    <t xml:space="preserve">Exhaust fan </t>
  </si>
  <si>
    <t xml:space="preserve">Quad Electric Box </t>
  </si>
  <si>
    <t>Vanity</t>
  </si>
  <si>
    <t xml:space="preserve">Teodor Vanities </t>
  </si>
  <si>
    <t xml:space="preserve">Vanity Top </t>
  </si>
  <si>
    <t xml:space="preserve">W/Vanity </t>
  </si>
  <si>
    <t>Shower Walls Tile 24 x 48</t>
  </si>
  <si>
    <t xml:space="preserve">Floor tile  12 x 24 size change </t>
  </si>
  <si>
    <t xml:space="preserve">Grout Dusty Grey &amp; Fossil </t>
  </si>
  <si>
    <t>Schulter Edging -  black 4</t>
  </si>
  <si>
    <t xml:space="preserve">ProSoure </t>
  </si>
  <si>
    <t xml:space="preserve">Mirror - Wants lighted Mirror </t>
  </si>
  <si>
    <t>X</t>
  </si>
  <si>
    <t xml:space="preserve">medicine Cabinet </t>
  </si>
  <si>
    <t xml:space="preserve">Exhaust Fan no light </t>
  </si>
  <si>
    <t xml:space="preserve">Light Fixtures </t>
  </si>
  <si>
    <t>Brummond, Patty &amp; Chuck 38867-CJC</t>
  </si>
  <si>
    <t xml:space="preserve">Appointment Date </t>
  </si>
  <si>
    <t>PM /</t>
  </si>
  <si>
    <t xml:space="preserve">Lead  Jobsite </t>
  </si>
  <si>
    <t xml:space="preserve">No Permit Customer Option </t>
  </si>
  <si>
    <t xml:space="preserve">TOTAL Allowance </t>
  </si>
  <si>
    <t xml:space="preserve">Primary Bath </t>
  </si>
  <si>
    <t xml:space="preserve">Vanity w/ Tower  90" </t>
  </si>
  <si>
    <t xml:space="preserve">LJA </t>
  </si>
  <si>
    <t xml:space="preserve">Celso </t>
  </si>
  <si>
    <t xml:space="preserve">Handles Knobs </t>
  </si>
  <si>
    <t xml:space="preserve">2 Faucet - </t>
  </si>
  <si>
    <t>2 - Sinks Undermount 20" Rec</t>
  </si>
  <si>
    <t xml:space="preserve">Toilet Comfort Elongated </t>
  </si>
  <si>
    <t xml:space="preserve">Valve </t>
  </si>
  <si>
    <t>Valve Trim</t>
  </si>
  <si>
    <t xml:space="preserve">Diverter Valve &amp; Trim </t>
  </si>
  <si>
    <t xml:space="preserve">Handheld - Hose </t>
  </si>
  <si>
    <t xml:space="preserve">Hook for hose </t>
  </si>
  <si>
    <t xml:space="preserve">Drop L </t>
  </si>
  <si>
    <t xml:space="preserve">Shower Door Semi Frameless 5" </t>
  </si>
  <si>
    <t xml:space="preserve">Waukegn Glass Req Options </t>
  </si>
  <si>
    <t xml:space="preserve">Tile Prep </t>
  </si>
  <si>
    <t xml:space="preserve">Schulter Pan 3 x 5 Center Drain </t>
  </si>
  <si>
    <t xml:space="preserve">Schulter Drain </t>
  </si>
  <si>
    <t xml:space="preserve">1 - Bag all set Schulter Mortar </t>
  </si>
  <si>
    <t>2 Rolls Kerdi band 3 x 16.5</t>
  </si>
  <si>
    <t xml:space="preserve">1 Schulter Crub 5' </t>
  </si>
  <si>
    <t xml:space="preserve">20 Sq FT Shower Floor Tile </t>
  </si>
  <si>
    <t xml:space="preserve">100 Sq Ft Shower Wall Tile </t>
  </si>
  <si>
    <t xml:space="preserve">100 Sq Ft Bath Floor Tile </t>
  </si>
  <si>
    <t xml:space="preserve">20 Linear Ft Tile Edge Trim </t>
  </si>
  <si>
    <t xml:space="preserve">8 Linear ft Niche Trim </t>
  </si>
  <si>
    <t xml:space="preserve">2- 25 Bags of Grout </t>
  </si>
  <si>
    <t xml:space="preserve">2 - Match Tubes Caulk </t>
  </si>
  <si>
    <t xml:space="preserve">Vanity Top - </t>
  </si>
  <si>
    <t>x</t>
  </si>
  <si>
    <t xml:space="preserve">Shower - 6" x 60" Curb </t>
  </si>
  <si>
    <t xml:space="preserve">Knee Wall 6" x 39 Knee Wall Cap </t>
  </si>
  <si>
    <t xml:space="preserve">Niche 4" x 24" </t>
  </si>
  <si>
    <t xml:space="preserve">Exhaust Fan - No Light </t>
  </si>
  <si>
    <t xml:space="preserve">2- Lights for closet - Flush mount </t>
  </si>
  <si>
    <t xml:space="preserve">MISC </t>
  </si>
  <si>
    <t xml:space="preserve">Moen Folding Shower Seat </t>
  </si>
  <si>
    <t xml:space="preserve">TP, Towel Bars, Hooks </t>
  </si>
  <si>
    <t xml:space="preserve">Basement Bath </t>
  </si>
  <si>
    <t xml:space="preserve">Vanity 30 " </t>
  </si>
  <si>
    <t xml:space="preserve">Faucet - </t>
  </si>
  <si>
    <t>Sinks Undermount Rect</t>
  </si>
  <si>
    <t xml:space="preserve">Tub/Shower </t>
  </si>
  <si>
    <t xml:space="preserve">Tub - 60" x 36" Right Drain </t>
  </si>
  <si>
    <t>Shower Valve &amp; Trim</t>
  </si>
  <si>
    <t xml:space="preserve">Shower Head &amp; Escitheon Plate </t>
  </si>
  <si>
    <t xml:space="preserve">Valve &amp; Value Trim </t>
  </si>
  <si>
    <t xml:space="preserve">Tub Spout </t>
  </si>
  <si>
    <t xml:space="preserve">Diverter if Hand held desired </t>
  </si>
  <si>
    <t xml:space="preserve">Hook </t>
  </si>
  <si>
    <t xml:space="preserve">Shower rod  </t>
  </si>
  <si>
    <t xml:space="preserve">Cabinet / Storage over Toilet </t>
  </si>
  <si>
    <t xml:space="preserve">45 Sq Ft Bath Floor Tile </t>
  </si>
  <si>
    <t xml:space="preserve">45 Linear Ft Tile Edge Trim </t>
  </si>
  <si>
    <t xml:space="preserve">1- Match Tubes Caulk </t>
  </si>
  <si>
    <t xml:space="preserve">Vanity Top  31" x 22" - Right Side splash  </t>
  </si>
  <si>
    <t xml:space="preserve">38 3/4" wide x 2" Deep Window sill </t>
  </si>
  <si>
    <t xml:space="preserve">2 Vanity Light </t>
  </si>
  <si>
    <t xml:space="preserve">Exhaust Fan - Picked with Jason </t>
  </si>
  <si>
    <t>Ceiling Register (CJ will Get)</t>
  </si>
  <si>
    <t xml:space="preserve">Closet </t>
  </si>
  <si>
    <t xml:space="preserve">LVP LifeProof Brookfield Marble 45 SQ </t>
  </si>
  <si>
    <t xml:space="preserve">Home depot </t>
  </si>
  <si>
    <t>Flooring</t>
  </si>
  <si>
    <t xml:space="preserve">1 Transitions strips reducer carpet to LVP </t>
  </si>
  <si>
    <t xml:space="preserve">2 Fluch mount Fixtures </t>
  </si>
  <si>
    <t xml:space="preserve">Shelving </t>
  </si>
  <si>
    <t xml:space="preserve">Shelving for master closet </t>
  </si>
  <si>
    <t xml:space="preserve">Living Room </t>
  </si>
  <si>
    <t xml:space="preserve">Cabinet </t>
  </si>
  <si>
    <t xml:space="preserve">Living Room Custom Cabinet </t>
  </si>
  <si>
    <t xml:space="preserve">Family Room </t>
  </si>
  <si>
    <t xml:space="preserve">Changed to light fixture vs fan </t>
  </si>
  <si>
    <t>TTL 38,000.00</t>
  </si>
  <si>
    <t xml:space="preserve">Add on </t>
  </si>
  <si>
    <t xml:space="preserve">basement over the toilet cabinet </t>
  </si>
  <si>
    <t xml:space="preserve">Tracy Jeffrey 38729-THC </t>
  </si>
  <si>
    <t>Appointment Dates</t>
  </si>
  <si>
    <t>*** Permit Allowance - Note: Permit not figured in CSI total</t>
  </si>
  <si>
    <t xml:space="preserve">Start Material </t>
  </si>
  <si>
    <t xml:space="preserve">Plumbing </t>
  </si>
  <si>
    <t xml:space="preserve">Refrigerator Water Whip/line </t>
  </si>
  <si>
    <t xml:space="preserve">Water Valve Box </t>
  </si>
  <si>
    <t xml:space="preserve">Faucet Brushed Nickel  - Delta </t>
  </si>
  <si>
    <t>9191-AR-PR-DST</t>
  </si>
  <si>
    <t xml:space="preserve">Undermount Sink Single Bowl  Kohler </t>
  </si>
  <si>
    <t>K-28876-NA</t>
  </si>
  <si>
    <t xml:space="preserve">HVAC </t>
  </si>
  <si>
    <t xml:space="preserve">NOTE: Floor registers run thru Toe Kick </t>
  </si>
  <si>
    <t>CF 9/4/25</t>
  </si>
  <si>
    <t xml:space="preserve">6 Recessed Can Lightss </t>
  </si>
  <si>
    <t xml:space="preserve">Led Under Cabinet Lighting </t>
  </si>
  <si>
    <t xml:space="preserve">8 - Recessed Lights </t>
  </si>
  <si>
    <t xml:space="preserve">LVT 140 SQ Ft </t>
  </si>
  <si>
    <t>3- matching cap-a-tread @ 45" needed</t>
  </si>
  <si>
    <t xml:space="preserve">1 - matching t-strip </t>
  </si>
  <si>
    <t xml:space="preserve">Cabinet Selection (Material, finish, style) 42" </t>
  </si>
  <si>
    <t xml:space="preserve">LJA Shiloh </t>
  </si>
  <si>
    <t xml:space="preserve">Home Depot (36 Knobs) </t>
  </si>
  <si>
    <t xml:space="preserve">** Kitchen Aid Shelf Lift </t>
  </si>
  <si>
    <t xml:space="preserve">Countertop - 4" backsplash  Carrara Mist  </t>
  </si>
  <si>
    <t xml:space="preserve">Edging -  Bevel Edge </t>
  </si>
  <si>
    <t xml:space="preserve">4" Backsplash </t>
  </si>
  <si>
    <t>3 1/4" colonial floor trim and shoe</t>
  </si>
  <si>
    <t xml:space="preserve">Menards  (project) </t>
  </si>
  <si>
    <t xml:space="preserve">Appliances ABT to install </t>
  </si>
  <si>
    <t xml:space="preserve">Dennis &amp; Cindy Boiko </t>
  </si>
  <si>
    <t xml:space="preserve">Sink - </t>
  </si>
  <si>
    <t xml:space="preserve">RVH8310 </t>
  </si>
  <si>
    <t xml:space="preserve">9159-AR-DST </t>
  </si>
  <si>
    <t xml:space="preserve">*Garbage Disposal (not in contract in Service plus) </t>
  </si>
  <si>
    <t>LED Light under cabinet</t>
  </si>
  <si>
    <t xml:space="preserve">LED Light in foyer  *Service Plus to Supply </t>
  </si>
  <si>
    <t xml:space="preserve">LVT 767 SQ FT  H.D. LP Chiffon Lace </t>
  </si>
  <si>
    <t xml:space="preserve"> matching transition strips-hardwood to lvp @ 6'</t>
  </si>
  <si>
    <t xml:space="preserve">LJA Cabinets </t>
  </si>
  <si>
    <t>Hardware for Cabinets: Quanity 20 (18)</t>
  </si>
  <si>
    <t xml:space="preserve">Light rail  under counters </t>
  </si>
  <si>
    <t xml:space="preserve">**Spice Rack </t>
  </si>
  <si>
    <t xml:space="preserve">Countertop - Full Height  backsplash  Cararra Breve </t>
  </si>
  <si>
    <t xml:space="preserve">Edging - </t>
  </si>
  <si>
    <t xml:space="preserve">full Height Back splash </t>
  </si>
  <si>
    <t xml:space="preserve">Exhaust fan - Service Plus </t>
  </si>
  <si>
    <t xml:space="preserve">Foyer Light - Service Plus </t>
  </si>
  <si>
    <t xml:space="preserve">Bath - </t>
  </si>
  <si>
    <t xml:space="preserve">Tub divertor Valve in Bath </t>
  </si>
  <si>
    <t xml:space="preserve">Sink - Single Bowl </t>
  </si>
  <si>
    <t xml:space="preserve">LED Light Fixture over Island </t>
  </si>
  <si>
    <t xml:space="preserve">Flush Mount LED over Sink </t>
  </si>
  <si>
    <t xml:space="preserve">Dining Table Fixture / Fan </t>
  </si>
  <si>
    <t xml:space="preserve">*Addon - Under Cabinet Bar Lights </t>
  </si>
  <si>
    <t xml:space="preserve">LVT 275 SQ FT  H.D. LP Sterling Oak </t>
  </si>
  <si>
    <t>2- matching stair noses (overlap) @45"</t>
  </si>
  <si>
    <t>2- matching transition strips-hardwood to lvp @ 6'</t>
  </si>
  <si>
    <t xml:space="preserve">** No Charge Addon for Pantry Flooring per Lou </t>
  </si>
  <si>
    <t>Hardware for Cabinets: Quanity 30</t>
  </si>
  <si>
    <t xml:space="preserve">Hardware Hut </t>
  </si>
  <si>
    <t xml:space="preserve">Countertop - Full Height  Calacatta  Botanica </t>
  </si>
  <si>
    <t xml:space="preserve">Edging -  Square </t>
  </si>
  <si>
    <t xml:space="preserve">Possible full Height Back splash - wash in cost </t>
  </si>
  <si>
    <t xml:space="preserve">Backsplash Selection Tile /Changed to full height back splash </t>
  </si>
  <si>
    <t>Cabinet Extra Pieces to Hide stairs</t>
  </si>
  <si>
    <t xml:space="preserve">Change order #3 Over allowances on Material </t>
  </si>
  <si>
    <t xml:space="preserve">Customer does not want Permit </t>
  </si>
  <si>
    <t>K-27390-4-CP</t>
  </si>
  <si>
    <t xml:space="preserve">Folding Shower Seat </t>
  </si>
  <si>
    <t xml:space="preserve">DN-7110 </t>
  </si>
  <si>
    <t xml:space="preserve">Shower Pivot Door </t>
  </si>
  <si>
    <t xml:space="preserve">Waukegan Glass </t>
  </si>
  <si>
    <t xml:space="preserve">Swing Door A + Glass Guard </t>
  </si>
  <si>
    <t xml:space="preserve">Electric  Light Fixtures </t>
  </si>
  <si>
    <t xml:space="preserve">LJA - Mariola </t>
  </si>
  <si>
    <t xml:space="preserve">Medicine Cabinet </t>
  </si>
  <si>
    <t xml:space="preserve">Cabinet Handles </t>
  </si>
  <si>
    <t xml:space="preserve">Cabinet HAndles Powder Room </t>
  </si>
  <si>
    <t xml:space="preserve">Extra TP Holder NO Charge for install </t>
  </si>
  <si>
    <t xml:space="preserve">Add-on Allowances </t>
  </si>
  <si>
    <t>K-200000-0</t>
  </si>
  <si>
    <t xml:space="preserve">Quartz - carrara Morro </t>
  </si>
  <si>
    <t xml:space="preserve">Hardware Powder Room </t>
  </si>
  <si>
    <t xml:space="preserve">** add-on Amount 2nd story vanity $1,780.00 </t>
  </si>
  <si>
    <t xml:space="preserve">** add-on Amount Powder Room  vanity $1,780.00 </t>
  </si>
  <si>
    <t xml:space="preserve">Allowance Total </t>
  </si>
  <si>
    <t xml:space="preserve">Total Over Allowances </t>
  </si>
  <si>
    <t xml:space="preserve">Contract Price </t>
  </si>
  <si>
    <t xml:space="preserve">Change Order #1 2nd Floor Hall Bath </t>
  </si>
  <si>
    <t xml:space="preserve">Change order #2 Credit Permit </t>
  </si>
  <si>
    <t xml:space="preserve">Change Order #3  Vanity 2nd Story </t>
  </si>
  <si>
    <t xml:space="preserve">Change Order #4 Vanity Powder Rm </t>
  </si>
  <si>
    <t xml:space="preserve">Change order #5 for Shower Glass </t>
  </si>
  <si>
    <t xml:space="preserve">Change Order For TP Holders No charge </t>
  </si>
  <si>
    <t xml:space="preserve">Change Order #6 Add (2)  Light fixtures </t>
  </si>
  <si>
    <t xml:space="preserve">Over Allowances Total </t>
  </si>
  <si>
    <t xml:space="preserve">Grand Total </t>
  </si>
  <si>
    <t xml:space="preserve">Deposit payment 7/11/25 </t>
  </si>
  <si>
    <t xml:space="preserve">Change Order 1 2nd Floor Hall Bath </t>
  </si>
  <si>
    <t xml:space="preserve">Change order 2 Credit Permit </t>
  </si>
  <si>
    <t xml:space="preserve">Change Order 3  Vanity 2nd Story </t>
  </si>
  <si>
    <t xml:space="preserve">Change Order 4 Vanity Powder Rm </t>
  </si>
  <si>
    <t xml:space="preserve">Change order for Shower Glass </t>
  </si>
  <si>
    <t xml:space="preserve">Scott Sayre - 39010-THC Bath </t>
  </si>
  <si>
    <t xml:space="preserve">URL </t>
  </si>
  <si>
    <t xml:space="preserve">Permit Allowance </t>
  </si>
  <si>
    <t xml:space="preserve">Shower / Tub  Fixtures </t>
  </si>
  <si>
    <t xml:space="preserve">Moen Multi Function Shower Head / Hand Held </t>
  </si>
  <si>
    <t>https://www.fergusonhome.com/moen-220c5/s1965009?uid=4649839</t>
  </si>
  <si>
    <t>220C5BN</t>
  </si>
  <si>
    <t xml:space="preserve">Moen Valve </t>
  </si>
  <si>
    <t>https://www.fergusonhome.com/moen-2570/s136731?uid=2553010</t>
  </si>
  <si>
    <t>Ferguso n</t>
  </si>
  <si>
    <t xml:space="preserve">Moen Gibson Tub /Shower Trims </t>
  </si>
  <si>
    <t>https://www.fergusonhome.com/moen-t2903nh/s1434099?uid=3882444</t>
  </si>
  <si>
    <t>T2903NHBN</t>
  </si>
  <si>
    <t xml:space="preserve">Shower Rod </t>
  </si>
  <si>
    <t xml:space="preserve">Delta Classic Tub 60 x 30 </t>
  </si>
  <si>
    <t>https://www.homedepot.com/p/Delta-Classic-500-60-in-x-30-in-Alcove-Deep-Soaking-Bathtub-with-Left-Drain-in-High-Gloss-White-B23605-6030L-WH/321016480</t>
  </si>
  <si>
    <t>B23605-6030L-WH</t>
  </si>
  <si>
    <t xml:space="preserve">Shower Panel </t>
  </si>
  <si>
    <t xml:space="preserve">Sentrel- Azzure Bay </t>
  </si>
  <si>
    <t xml:space="preserve">Lou ordered </t>
  </si>
  <si>
    <t xml:space="preserve">Niche" 17 x 24 </t>
  </si>
  <si>
    <t xml:space="preserve">vanity </t>
  </si>
  <si>
    <t>LJA - Mariola</t>
  </si>
  <si>
    <t xml:space="preserve">Quartz - Calacatta Botanic </t>
  </si>
  <si>
    <t xml:space="preserve">Knobs </t>
  </si>
  <si>
    <t>2 - Grab Bars 16/24</t>
  </si>
  <si>
    <t xml:space="preserve">Home Deopt </t>
  </si>
  <si>
    <t xml:space="preserve">Janice Sommer 38816-THC Tub to Shower Conversion </t>
  </si>
  <si>
    <t xml:space="preserve">Shower Fixtures </t>
  </si>
  <si>
    <t xml:space="preserve">Shower Head / Hand Held </t>
  </si>
  <si>
    <t xml:space="preserve">Matte Black </t>
  </si>
  <si>
    <t xml:space="preserve">Shower Trims </t>
  </si>
  <si>
    <t>Shower Door</t>
  </si>
  <si>
    <t xml:space="preserve">Shower Drain </t>
  </si>
  <si>
    <t xml:space="preserve">Shower Drain  Cover Matte Black </t>
  </si>
  <si>
    <t>2 - Grab Bars 18/24</t>
  </si>
  <si>
    <t xml:space="preserve">Exhaust Fan / With Light </t>
  </si>
  <si>
    <t>Condo, Kitchen Bath  Remodeling Selection &amp; Ordering Checklist</t>
  </si>
  <si>
    <t>Joy Siragusa 38860-THC</t>
  </si>
  <si>
    <t xml:space="preserve">Budgeted Allowance </t>
  </si>
  <si>
    <t xml:space="preserve">Purchased </t>
  </si>
  <si>
    <t xml:space="preserve">No  Permit Figured </t>
  </si>
  <si>
    <t xml:space="preserve">Refrigerator Water Line </t>
  </si>
  <si>
    <t xml:space="preserve">Undermounted Sink </t>
  </si>
  <si>
    <t xml:space="preserve">Kitchen Flooring </t>
  </si>
  <si>
    <t xml:space="preserve">Kitchen Cabinets </t>
  </si>
  <si>
    <t>Cabinet Selection (Material, finish, style)</t>
  </si>
  <si>
    <t xml:space="preserve">Countertop Edging: </t>
  </si>
  <si>
    <t xml:space="preserve">Full Height Back Splash Meridan Gray </t>
  </si>
  <si>
    <t xml:space="preserve">Island Different Quartz - Peppercorn White </t>
  </si>
  <si>
    <t xml:space="preserve">USB - USB-C outlets </t>
  </si>
  <si>
    <t xml:space="preserve">Front Closet </t>
  </si>
  <si>
    <t xml:space="preserve">LED Semi Flush Light with Motion Sensor </t>
  </si>
  <si>
    <t xml:space="preserve">LVT Flooring Foyer, Front Storage Rm, Living Room, Kitchen &amp; hallway </t>
  </si>
  <si>
    <t xml:space="preserve">Lifeproof  Vesinet Oak Wider Plank (returned the smaller plank) </t>
  </si>
  <si>
    <t xml:space="preserve">Bedroom -1 </t>
  </si>
  <si>
    <t xml:space="preserve">Ceiling Fan </t>
  </si>
  <si>
    <t>Trim</t>
  </si>
  <si>
    <t xml:space="preserve">Bedroom 1 Painting </t>
  </si>
  <si>
    <t xml:space="preserve">Paint Ceiling,  Walls Bedroom 1 </t>
  </si>
  <si>
    <t xml:space="preserve">Bedroom -2 </t>
  </si>
  <si>
    <t xml:space="preserve">Bedroom 2 Painting </t>
  </si>
  <si>
    <t xml:space="preserve">Paint Ceiling,  Walls Bedroom 2 </t>
  </si>
  <si>
    <t xml:space="preserve">Bedroom -3 Studio </t>
  </si>
  <si>
    <t xml:space="preserve">4 Flush Ceiling Lights on dimmers </t>
  </si>
  <si>
    <t xml:space="preserve">Closet Doors &amp; Pulls/ Cups </t>
  </si>
  <si>
    <t xml:space="preserve">Bedroom 3 Studio  Painting </t>
  </si>
  <si>
    <t xml:space="preserve">Paint Ceiling,  Walls Bedroom 3 &amp; Closet </t>
  </si>
  <si>
    <t xml:space="preserve">Add-On Flooring </t>
  </si>
  <si>
    <t xml:space="preserve">LVT to match the rest </t>
  </si>
  <si>
    <t xml:space="preserve">Laundry Room </t>
  </si>
  <si>
    <t xml:space="preserve">Utilty Sink </t>
  </si>
  <si>
    <t xml:space="preserve">New Passage Door </t>
  </si>
  <si>
    <t xml:space="preserve">Knob/Pull </t>
  </si>
  <si>
    <t xml:space="preserve">Laundry Rm Painting </t>
  </si>
  <si>
    <t xml:space="preserve">Paint Ceiling,  Walls Laundry Rm Passage Door </t>
  </si>
  <si>
    <t xml:space="preserve">Hallway Bath </t>
  </si>
  <si>
    <t xml:space="preserve">Paint Walls &amp; Ceiling </t>
  </si>
  <si>
    <t xml:space="preserve">Interior Doors </t>
  </si>
  <si>
    <t xml:space="preserve">Shaker Style Solid core </t>
  </si>
  <si>
    <t xml:space="preserve">Studio Door Black Metal and Glass Design </t>
  </si>
  <si>
    <t xml:space="preserve">Windows Trim </t>
  </si>
  <si>
    <t xml:space="preserve">paint only </t>
  </si>
  <si>
    <t xml:space="preserve">Walls </t>
  </si>
  <si>
    <t xml:space="preserve">Same Color - </t>
  </si>
  <si>
    <t xml:space="preserve">Shower Handle Trim </t>
  </si>
  <si>
    <t>Hand Held Shower</t>
  </si>
  <si>
    <t xml:space="preserve">Shower Base or Schutler </t>
  </si>
  <si>
    <t xml:space="preserve">Hooks </t>
  </si>
  <si>
    <t xml:space="preserve">Linen Closet &amp; Knobs </t>
  </si>
  <si>
    <t xml:space="preserve">Tile Floor </t>
  </si>
  <si>
    <t xml:space="preserve">Shower Floor </t>
  </si>
  <si>
    <t xml:space="preserve">Shower Walls </t>
  </si>
  <si>
    <t xml:space="preserve">Grout </t>
  </si>
  <si>
    <t xml:space="preserve">Caulk </t>
  </si>
  <si>
    <t xml:space="preserve">Schulter Edging </t>
  </si>
  <si>
    <t xml:space="preserve">Vanity, sinks Faucet </t>
  </si>
  <si>
    <t xml:space="preserve">Quartz Bath </t>
  </si>
  <si>
    <t>Bath Vanity and Shower Pieces Carrara Miska or Carrara Breve</t>
  </si>
  <si>
    <t xml:space="preserve">Cacjr granite </t>
  </si>
  <si>
    <t xml:space="preserve">Misc Budget </t>
  </si>
  <si>
    <t xml:space="preserve">Carpet and Install </t>
  </si>
  <si>
    <t xml:space="preserve">Addons </t>
  </si>
  <si>
    <t>Frame Walls $9,312.00</t>
  </si>
  <si>
    <t>Flooring in Studio Closet, Walk in $5,826.00</t>
  </si>
  <si>
    <t xml:space="preserve">Electric Track Lighting $7,693.00 </t>
  </si>
  <si>
    <t xml:space="preserve">Additional  Track $500.00 </t>
  </si>
  <si>
    <t>Electric Add - on Fans Studio &amp; Living Install 350 *</t>
  </si>
  <si>
    <t xml:space="preserve">Hall Bath Light Fixture (Customer Bought) *Not in contract </t>
  </si>
  <si>
    <t xml:space="preserve">Hall Bath Toilet (we Purchase 239.99 Costco) *not in contract </t>
  </si>
  <si>
    <t xml:space="preserve">Entry hall Closet Light  ( Customer Purchased  in contract </t>
  </si>
  <si>
    <t xml:space="preserve">Laundry Room Light Customer Purchased *not in contract </t>
  </si>
  <si>
    <t xml:space="preserve">3 Grab Bars in Master *not in Contract </t>
  </si>
  <si>
    <t>Amazon</t>
  </si>
  <si>
    <t xml:space="preserve">1 Grab Bar in Hall Bath by Toilet *Not in contract </t>
  </si>
  <si>
    <t xml:space="preserve">Install customer purchased Garbage Disposal *Not in Contract </t>
  </si>
  <si>
    <t xml:space="preserve">Tile Bath Ceiling </t>
  </si>
  <si>
    <t xml:space="preserve">backsplash change to Pepercorn </t>
  </si>
  <si>
    <t xml:space="preserve"> </t>
  </si>
  <si>
    <t xml:space="preserve">Nancy Seroogy Steve Gray Kitch 38718-THC </t>
  </si>
  <si>
    <t xml:space="preserve">*** Permit Allowance - Note: 150.00 </t>
  </si>
  <si>
    <t>Sink</t>
  </si>
  <si>
    <t xml:space="preserve">Fauet  </t>
  </si>
  <si>
    <t xml:space="preserve">Air Switch Garbage Disposal </t>
  </si>
  <si>
    <t xml:space="preserve">Light Switches &amp; Outlets Relocate 2  </t>
  </si>
  <si>
    <t xml:space="preserve">* Add- On LED under Cabinet Lighting </t>
  </si>
  <si>
    <t xml:space="preserve">* 2 New Light Fixtures (Cans or Pendants) </t>
  </si>
  <si>
    <t xml:space="preserve">** Corner cabinet add-on </t>
  </si>
  <si>
    <t xml:space="preserve">Cabinet Selection (Stateville, Alder, White Sands, EDGE 100 </t>
  </si>
  <si>
    <t xml:space="preserve">*** Corner Wall and Base Angled Cabinet $3,310.42 </t>
  </si>
  <si>
    <t xml:space="preserve">Crown Molding - Only on corner 42" </t>
  </si>
  <si>
    <t>Hardware for Cabinets: Quanity 34</t>
  </si>
  <si>
    <t xml:space="preserve">** Light Strip Corner Cabinet </t>
  </si>
  <si>
    <t>LJA</t>
  </si>
  <si>
    <t xml:space="preserve">electric for Light strip </t>
  </si>
  <si>
    <t xml:space="preserve">SP - Approved </t>
  </si>
  <si>
    <t xml:space="preserve">Countertop - </t>
  </si>
  <si>
    <t xml:space="preserve">Estimate of highest </t>
  </si>
  <si>
    <t xml:space="preserve">Edging - half Bull Nose (possible full bull knose on passthrough </t>
  </si>
  <si>
    <t xml:space="preserve">backsplash Tile - </t>
  </si>
  <si>
    <t xml:space="preserve">Grout &amp; Cauld Natural Grey - P-UP Addiosn </t>
  </si>
  <si>
    <t xml:space="preserve">Counter: Pass-thru Butcher Block CHG to Quartz </t>
  </si>
  <si>
    <t xml:space="preserve">Stain Color: </t>
  </si>
  <si>
    <t xml:space="preserve">** CHANGE TO Just laundry room LVT Kitchen, Sunroom, Hallway &amp; Laundry Room </t>
  </si>
  <si>
    <t xml:space="preserve">Kitchen &amp; Adjacent Hallway Ceiling &amp; Walls </t>
  </si>
  <si>
    <t xml:space="preserve">* Customer Supplied Shower Door </t>
  </si>
  <si>
    <t>* Customer Supplied Light Fixtures</t>
  </si>
  <si>
    <t xml:space="preserve">Paint Walls </t>
  </si>
  <si>
    <t xml:space="preserve">*** Add-On  Wall Removal Header / No Post  </t>
  </si>
  <si>
    <t xml:space="preserve">** Credit - Floor replaced $4,200 in material </t>
  </si>
  <si>
    <t xml:space="preserve">*** Laundrey Room Flooring replaced with LifeProof </t>
  </si>
  <si>
    <t xml:space="preserve">Per 7/17/25  Meeting with Lou and Jeremy - Contract Price - Flooring </t>
  </si>
  <si>
    <t xml:space="preserve">Contract to be orignial price with only $950.00 in Allowance left - Any changes after that are addon's </t>
  </si>
  <si>
    <t>*** $80.00 + $350.00 for Light Rail on Corner Cabinet Approved 8/10</t>
  </si>
  <si>
    <t xml:space="preserve">Approved Air Switch </t>
  </si>
  <si>
    <t>Per meetin</t>
  </si>
  <si>
    <t xml:space="preserve">Nancy Dunne 38896-THC Master Bath </t>
  </si>
  <si>
    <t xml:space="preserve">Allowance $150.00 </t>
  </si>
  <si>
    <t xml:space="preserve">Customer paid in person (issue Credit </t>
  </si>
  <si>
    <t xml:space="preserve">Soaker Tub, Drain, </t>
  </si>
  <si>
    <t xml:space="preserve">Soaker Tub Faucet </t>
  </si>
  <si>
    <t xml:space="preserve">Shower Base Schulter Tile </t>
  </si>
  <si>
    <t xml:space="preserve">Shower Door /Glass + Protected Coating </t>
  </si>
  <si>
    <t xml:space="preserve">3 - Towel Bar </t>
  </si>
  <si>
    <t xml:space="preserve">Shower Grab Bar </t>
  </si>
  <si>
    <t xml:space="preserve">Bath Flush Center light </t>
  </si>
  <si>
    <t xml:space="preserve">Exhaust fan no light </t>
  </si>
  <si>
    <t xml:space="preserve">* Shower Recessed light &amp; Switch NO SHOWER LIGHT </t>
  </si>
  <si>
    <t>* GFI Outlets &amp; Switches</t>
  </si>
  <si>
    <t xml:space="preserve">Quartz Vanity Top &amp; Shower Curb </t>
  </si>
  <si>
    <t xml:space="preserve">Quartz For Pony Wall </t>
  </si>
  <si>
    <t xml:space="preserve">Bath Tile Floor </t>
  </si>
  <si>
    <t xml:space="preserve"> Schulter Edging  brushed Nickle order with tile </t>
  </si>
  <si>
    <t xml:space="preserve">Grout  Will decide once tile there </t>
  </si>
  <si>
    <t xml:space="preserve">Caulk  </t>
  </si>
  <si>
    <t xml:space="preserve">Paint  Walls: some shade of white </t>
  </si>
  <si>
    <t xml:space="preserve">Add-on Shower moved (Quartz &amp; Door) </t>
  </si>
  <si>
    <t>Bath &amp; Laundry Room  Remodeling Selection &amp; Ordering Checklist</t>
  </si>
  <si>
    <t xml:space="preserve">Diana Brann  38849-CJC </t>
  </si>
  <si>
    <t>Permit *Allowance $250.00</t>
  </si>
  <si>
    <t xml:space="preserve">Vanity, Sink Combo </t>
  </si>
  <si>
    <t xml:space="preserve">** NOTE:Mega to make Filler Painted to match </t>
  </si>
  <si>
    <t xml:space="preserve">Faucet - Brushed Nickel </t>
  </si>
  <si>
    <t xml:space="preserve">Toilet Toto Elongated </t>
  </si>
  <si>
    <t xml:space="preserve">Toto Washlet </t>
  </si>
  <si>
    <t xml:space="preserve">Extra ** </t>
  </si>
  <si>
    <t xml:space="preserve">4 - Knobs for Vanity Brushed Nickel </t>
  </si>
  <si>
    <t xml:space="preserve">Shower Head/Hand Held Combo </t>
  </si>
  <si>
    <t xml:space="preserve">Exhust Fan NO light </t>
  </si>
  <si>
    <t xml:space="preserve">Sentrel Panel Veincut Grey </t>
  </si>
  <si>
    <t xml:space="preserve">Lansing </t>
  </si>
  <si>
    <t>Sentrel Cubby 17 x 26</t>
  </si>
  <si>
    <t>Sentrel Shower Base Veincut Grey</t>
  </si>
  <si>
    <t>LVP LifeProof Ashen Grove (12)</t>
  </si>
  <si>
    <t xml:space="preserve">Drop Ceiling $3.00  SQ FT </t>
  </si>
  <si>
    <t xml:space="preserve">60 X 80 Hollow Core Bi-Fold Pantry </t>
  </si>
  <si>
    <t xml:space="preserve">Fold down Laundry Folding Table </t>
  </si>
  <si>
    <t xml:space="preserve">menards </t>
  </si>
  <si>
    <t xml:space="preserve">Fold Down Drying Rack </t>
  </si>
  <si>
    <t xml:space="preserve">laundry Sink Faucet Combo </t>
  </si>
  <si>
    <t xml:space="preserve">LED 2 x 4 Panel Light </t>
  </si>
  <si>
    <t xml:space="preserve">Hall </t>
  </si>
  <si>
    <t xml:space="preserve">Drop Ceiling </t>
  </si>
  <si>
    <t xml:space="preserve">60 x 80 Hollow Core Bi-Fold Closet Doors </t>
  </si>
  <si>
    <t xml:space="preserve">Pull Knobs - 2 </t>
  </si>
  <si>
    <t>Kendra Hyett 38537-LNC</t>
  </si>
  <si>
    <t xml:space="preserve">Purchased or Estimated </t>
  </si>
  <si>
    <t xml:space="preserve">Workout Room </t>
  </si>
  <si>
    <t xml:space="preserve">Cork Underlayment Flooring </t>
  </si>
  <si>
    <t xml:space="preserve">Rubber Flooring Tile </t>
  </si>
  <si>
    <t xml:space="preserve">LVP in Storage Area </t>
  </si>
  <si>
    <t xml:space="preserve">Handles for Storge Doors </t>
  </si>
  <si>
    <t xml:space="preserve">Cabinets for Workout Room </t>
  </si>
  <si>
    <t xml:space="preserve">ProSourcce </t>
  </si>
  <si>
    <t xml:space="preserve">Cabinets Handles Matte Black </t>
  </si>
  <si>
    <t xml:space="preserve">Mini Frig </t>
  </si>
  <si>
    <t xml:space="preserve">ABT </t>
  </si>
  <si>
    <t xml:space="preserve">Quartz Counter Top to Match bath </t>
  </si>
  <si>
    <t xml:space="preserve">Bedroom </t>
  </si>
  <si>
    <t xml:space="preserve">Carpet &amp; Padding </t>
  </si>
  <si>
    <t xml:space="preserve">Area Rug </t>
  </si>
  <si>
    <t xml:space="preserve">Bedroom Painting </t>
  </si>
  <si>
    <t xml:space="preserve">Paint  Walls Bedroom  </t>
  </si>
  <si>
    <t xml:space="preserve">2 -Sink </t>
  </si>
  <si>
    <t xml:space="preserve">2 - Faucet Matte Black </t>
  </si>
  <si>
    <t xml:space="preserve">Shower Drain Matte Black </t>
  </si>
  <si>
    <t xml:space="preserve">Shower Door - Custom </t>
  </si>
  <si>
    <t xml:space="preserve">Vanity Lights (2) 3l light (1) 2 light </t>
  </si>
  <si>
    <t xml:space="preserve">Littman Bros </t>
  </si>
  <si>
    <t xml:space="preserve">Bath Fixture </t>
  </si>
  <si>
    <t xml:space="preserve">Bath Makeup Mirror </t>
  </si>
  <si>
    <t xml:space="preserve">Lamps Plus </t>
  </si>
  <si>
    <t xml:space="preserve">Closet Light Fixture - </t>
  </si>
  <si>
    <t xml:space="preserve">heated Floor </t>
  </si>
  <si>
    <t xml:space="preserve">Warmly Yours Heated Floor </t>
  </si>
  <si>
    <t xml:space="preserve">ProSource Omega </t>
  </si>
  <si>
    <t xml:space="preserve">9 Knobs 10 Pulls </t>
  </si>
  <si>
    <t xml:space="preserve">ProSource Top Knobs </t>
  </si>
  <si>
    <t xml:space="preserve">Vanity Top, Shower Niche, Sill, Curb? </t>
  </si>
  <si>
    <t xml:space="preserve">Calacatta Miraggo Cove </t>
  </si>
  <si>
    <t xml:space="preserve">Closet Cabinets - All handles, Bars Trim </t>
  </si>
  <si>
    <t xml:space="preserve">Closets By Design </t>
  </si>
  <si>
    <t xml:space="preserve">Grout   </t>
  </si>
  <si>
    <t xml:space="preserve">Paint Walls Workout Room </t>
  </si>
  <si>
    <t xml:space="preserve">Paint  Walls Closet  </t>
  </si>
  <si>
    <t xml:space="preserve">Paint  Walls Bathroom  </t>
  </si>
  <si>
    <t>Houser 38753</t>
  </si>
  <si>
    <t xml:space="preserve">Vanity Top with Sink </t>
  </si>
  <si>
    <t xml:space="preserve">Toilet comfort Round  and floor </t>
  </si>
  <si>
    <t xml:space="preserve">Lou Ordered </t>
  </si>
  <si>
    <t xml:space="preserve">Vanity 48" X 21" </t>
  </si>
  <si>
    <t>Handles -</t>
  </si>
  <si>
    <t xml:space="preserve">Side splash </t>
  </si>
  <si>
    <t xml:space="preserve">Terry Dahlstrom 38873-THC </t>
  </si>
  <si>
    <t>2 light fixtures  Main</t>
  </si>
  <si>
    <t xml:space="preserve">lamps Plus </t>
  </si>
  <si>
    <t xml:space="preserve">2 Lights hall bath </t>
  </si>
  <si>
    <t xml:space="preserve">2 Main Bath  Wall hanging mirrors </t>
  </si>
  <si>
    <t xml:space="preserve">Hall Bath </t>
  </si>
  <si>
    <t xml:space="preserve">Sink main Bath </t>
  </si>
  <si>
    <t xml:space="preserve">Home dpeot </t>
  </si>
  <si>
    <t xml:space="preserve">Faucet Main Bath </t>
  </si>
  <si>
    <t xml:space="preserve">Fergguson </t>
  </si>
  <si>
    <t xml:space="preserve">light blubs </t>
  </si>
  <si>
    <t xml:space="preserve">24" Bifold Closet Doors - White </t>
  </si>
  <si>
    <t xml:space="preserve">LVP </t>
  </si>
  <si>
    <t xml:space="preserve">T-Strip </t>
  </si>
  <si>
    <t xml:space="preserve">** Add-on Exhaust Fan in Main Bath </t>
  </si>
  <si>
    <t xml:space="preserve">Jeanne VonRentzell 38725-THC </t>
  </si>
  <si>
    <t xml:space="preserve">estimate </t>
  </si>
  <si>
    <t xml:space="preserve">Faucet - Chrome no spill </t>
  </si>
  <si>
    <t>w/hd</t>
  </si>
  <si>
    <t xml:space="preserve">Insides of kohle toilet </t>
  </si>
  <si>
    <t>Travis</t>
  </si>
  <si>
    <t xml:space="preserve">Light Switch / GFI Outlet </t>
  </si>
  <si>
    <t xml:space="preserve">Travis </t>
  </si>
  <si>
    <t xml:space="preserve">Vanity 21 x 18"  34 1/2 tall </t>
  </si>
  <si>
    <t xml:space="preserve">Handle 1 </t>
  </si>
  <si>
    <t xml:space="preserve">w/ hd </t>
  </si>
  <si>
    <t>Cacjr Granite</t>
  </si>
  <si>
    <t>Email options 5/25</t>
  </si>
  <si>
    <t xml:space="preserve">HVAC Vent Cover </t>
  </si>
  <si>
    <t xml:space="preserve">Menards Travis </t>
  </si>
  <si>
    <t xml:space="preserve">LVP 30 SQ Ft </t>
  </si>
  <si>
    <t xml:space="preserve">with HD order </t>
  </si>
  <si>
    <t xml:space="preserve">3 Transitions strips </t>
  </si>
  <si>
    <t xml:space="preserve">w/ HD </t>
  </si>
  <si>
    <t xml:space="preserve">Christine Roloff 38563-LNC </t>
  </si>
  <si>
    <t>bath floor &amp; shower walls)</t>
  </si>
  <si>
    <t>33 - LED recessed lights (18 for open area, 6 for dance room, 9 for media room)</t>
  </si>
  <si>
    <t xml:space="preserve">Bath Exhusted Fan  </t>
  </si>
  <si>
    <t xml:space="preserve">Bath Vanity Light </t>
  </si>
  <si>
    <t xml:space="preserve">4 Bath Switches </t>
  </si>
  <si>
    <t xml:space="preserve">Electrical - Dance </t>
  </si>
  <si>
    <t xml:space="preserve">Dance Room 6 Recessed Lights </t>
  </si>
  <si>
    <t xml:space="preserve">Dance Room closet Light </t>
  </si>
  <si>
    <t xml:space="preserve">Electrical - Bedroom </t>
  </si>
  <si>
    <t xml:space="preserve">Bedroom Fan 42" </t>
  </si>
  <si>
    <t xml:space="preserve">Bedroom Closet Light - Motion Sensored </t>
  </si>
  <si>
    <t xml:space="preserve">3 Light Switches </t>
  </si>
  <si>
    <t>Electrical - Media</t>
  </si>
  <si>
    <t xml:space="preserve">Cabinet Lighting (next to fireplace) </t>
  </si>
  <si>
    <t xml:space="preserve">Electrical - Wet Bar </t>
  </si>
  <si>
    <t xml:space="preserve">Cabinet Lighting under and inside wall cabinets </t>
  </si>
  <si>
    <t xml:space="preserve">Electric Outlets for all areas </t>
  </si>
  <si>
    <t xml:space="preserve">** 50" Fan Media Room </t>
  </si>
  <si>
    <t xml:space="preserve">Flooring - Open Area </t>
  </si>
  <si>
    <t>Coretec Luxury Vinyl Plank (LVP) flooring – 1,000 sq. ft.</t>
  </si>
  <si>
    <t xml:space="preserve">3 Coretec Carpert Reducers </t>
  </si>
  <si>
    <t xml:space="preserve">2 Coretec T-Molding </t>
  </si>
  <si>
    <t xml:space="preserve">Flooring - Bedroom &amp; Closet </t>
  </si>
  <si>
    <t xml:space="preserve">Carpet and padding (for bedroom and closet) 280 SQ Ft </t>
  </si>
  <si>
    <t xml:space="preserve">Flooring - Dance Room &amp; Closet </t>
  </si>
  <si>
    <t>Pre-finished oak flooring (for dance room and closet)</t>
  </si>
  <si>
    <t xml:space="preserve">Material 3616.20 Mr Floor </t>
  </si>
  <si>
    <t xml:space="preserve">Painting - Open Area  Ceiling </t>
  </si>
  <si>
    <t>Spray Ceiling to unfinished ceiling framing, mechanicals &amp; HVAC</t>
  </si>
  <si>
    <t xml:space="preserve">Painting - Dance Room  </t>
  </si>
  <si>
    <t xml:space="preserve">Painting - Bathroom </t>
  </si>
  <si>
    <t xml:space="preserve">Paint Ceiling, Walls, Door &amp; Trim </t>
  </si>
  <si>
    <t xml:space="preserve">Painting - Bedroom </t>
  </si>
  <si>
    <t xml:space="preserve">Paint Ceiling, Walls, Closet, Doors,  &amp; Trim </t>
  </si>
  <si>
    <t xml:space="preserve">Painting - Media Room </t>
  </si>
  <si>
    <t xml:space="preserve">Paint Ceiling, Wall, Floor Base, Shoe Mold, Door Jamb and Casing </t>
  </si>
  <si>
    <t xml:space="preserve">Finish Trim - Open, Media, 3 Closets </t>
  </si>
  <si>
    <t xml:space="preserve">Pre-hung  Primed 6-panel doors: Unders Stairs, Walk-in, Furnace &amp; Sump Pump  </t>
  </si>
  <si>
    <t xml:space="preserve">3 1/2" Colonial Casing for Doors </t>
  </si>
  <si>
    <t xml:space="preserve">(4) - Lock Sets for Doors  and Closets </t>
  </si>
  <si>
    <t xml:space="preserve"> Window jambs and casing</t>
  </si>
  <si>
    <t xml:space="preserve">30'  Wire shelves for closets (Lou to order) </t>
  </si>
  <si>
    <t xml:space="preserve">Home depot aLL CLOSETS </t>
  </si>
  <si>
    <t xml:space="preserve">Schulter Shower Drain Kit </t>
  </si>
  <si>
    <t xml:space="preserve">Home Depot  (fans, Toiliet )  Handles Door Stops </t>
  </si>
  <si>
    <t xml:space="preserve">Toilet Kohler Flush handle Matte Black </t>
  </si>
  <si>
    <t>Water valve, wax ring, and water line</t>
  </si>
  <si>
    <t xml:space="preserve">Sink (Note: Not in contract) </t>
  </si>
  <si>
    <t>Crajr Granite</t>
  </si>
  <si>
    <t xml:space="preserve">Faucet &amp; Drain Kit  </t>
  </si>
  <si>
    <t xml:space="preserve">Exhaust Fan with Light </t>
  </si>
  <si>
    <t xml:space="preserve">Schulter Kerdi Shower Tray 36 x 48 </t>
  </si>
  <si>
    <t xml:space="preserve">Schulter Shower Curb  48" x 36" </t>
  </si>
  <si>
    <t xml:space="preserve">Flooring - Bathroom </t>
  </si>
  <si>
    <t xml:space="preserve">Radiant Heat Mat (lou to order) </t>
  </si>
  <si>
    <t xml:space="preserve">Warmly Yours </t>
  </si>
  <si>
    <t xml:space="preserve">Shower Wall Tile 120  Sq Ft (ordered 171.6  SQ FT for Bath floor&amp; shower walls)  </t>
  </si>
  <si>
    <t xml:space="preserve">Bath Floor Tile 50 Sq Ft </t>
  </si>
  <si>
    <t xml:space="preserve">Quartz caps for shower curb, seat 12" x 18" , and niche All QUARTZ </t>
  </si>
  <si>
    <t xml:space="preserve">50 LBS - Grout to match all Smoke Grey - 89  (2 bags)  </t>
  </si>
  <si>
    <t>2 - Caulk to match all Smoke Grey - 89</t>
  </si>
  <si>
    <t>Pre-hung Primed  6-panel door</t>
  </si>
  <si>
    <t xml:space="preserve">Primed 6 panel Pocket Door Slab </t>
  </si>
  <si>
    <t>(1) - Lock Sets for Door</t>
  </si>
  <si>
    <t xml:space="preserve">Pocket Door Hardware </t>
  </si>
  <si>
    <t xml:space="preserve">2 Bi-Pass Cups Matte Black </t>
  </si>
  <si>
    <t xml:space="preserve">36" Vanity Cabinet </t>
  </si>
  <si>
    <t xml:space="preserve">cabinet order </t>
  </si>
  <si>
    <t xml:space="preserve">Kohler Numista 3 piece Bath set </t>
  </si>
  <si>
    <t xml:space="preserve">Kohler Numista Robe Hook </t>
  </si>
  <si>
    <t xml:space="preserve">Kohler Numista 18" Towel Bar </t>
  </si>
  <si>
    <t xml:space="preserve">Bath Vanity Liight </t>
  </si>
  <si>
    <t xml:space="preserve">Lights, toilet, toilet handle, cabinet handles, Door stops </t>
  </si>
  <si>
    <t xml:space="preserve">14 Spring Door Stops - white </t>
  </si>
  <si>
    <t xml:space="preserve">10 - Hinges Door Stops - White </t>
  </si>
  <si>
    <t xml:space="preserve">Bath Shower Encloser </t>
  </si>
  <si>
    <t xml:space="preserve"> Glass shower door enclosure (60”x76”)</t>
  </si>
  <si>
    <t xml:space="preserve">Waukegan Gurnee Glass Company </t>
  </si>
  <si>
    <t xml:space="preserve">Bedroom &amp; Closet Finish Trim </t>
  </si>
  <si>
    <t xml:space="preserve">Window Jams 3 1/2' Primed Colonial Casing </t>
  </si>
  <si>
    <t>2 - Pre-hung Primed  6-panel door</t>
  </si>
  <si>
    <t>(2) - Lock Sets for Doors</t>
  </si>
  <si>
    <t xml:space="preserve">16 LN FT of Wire White Shelving </t>
  </si>
  <si>
    <t xml:space="preserve">Dance Room &amp; Closet Finish Trim </t>
  </si>
  <si>
    <t>Bi-fold Primed Doors</t>
  </si>
  <si>
    <t xml:space="preserve">Primed Pre-hung 6 panel Glass Doors </t>
  </si>
  <si>
    <t xml:space="preserve"> - Lock Sets for Doors  and Closets </t>
  </si>
  <si>
    <t>7'  Wire shelves for closets</t>
  </si>
  <si>
    <t xml:space="preserve">10' x 6' Mirror </t>
  </si>
  <si>
    <t xml:space="preserve">Media Area Cabinets &amp; Fireplace </t>
  </si>
  <si>
    <t xml:space="preserve">Gas 50"  Liner Fireplace Insert </t>
  </si>
  <si>
    <t xml:space="preserve">Grass Roots </t>
  </si>
  <si>
    <t xml:space="preserve">Stone Veneer from Floor to Ceiling Fireplace and Bar with Corners </t>
  </si>
  <si>
    <t>2 - 36" x 96" Cabinets Glass Doors &amp; Shelves  (Material, finish, style)</t>
  </si>
  <si>
    <t xml:space="preserve">Quartz Top for base Cabinets to match Bar In with Vanity Price </t>
  </si>
  <si>
    <t xml:space="preserve">Hardware Selection (Handles) 20  + 5 </t>
  </si>
  <si>
    <t xml:space="preserve">Media &amp; Wet Bar Plumbing </t>
  </si>
  <si>
    <t xml:space="preserve">Wet Bar Faucet &amp; Drain </t>
  </si>
  <si>
    <t xml:space="preserve">Wet Bar Sink </t>
  </si>
  <si>
    <t xml:space="preserve">Glass for Cabinets Media &amp; Bar </t>
  </si>
  <si>
    <t xml:space="preserve">Media &amp; Wet Bar Cabinets </t>
  </si>
  <si>
    <t>Cabinets 2- Wall with Glass; 3- Base Cabinets w/ center sink (Material, finish, style)</t>
  </si>
  <si>
    <t xml:space="preserve">ProSource (all Cabinets) </t>
  </si>
  <si>
    <t xml:space="preserve">2 Cabinet  Shelves above Sink </t>
  </si>
  <si>
    <t xml:space="preserve">Hardware Selection (Knobs or Handles) </t>
  </si>
  <si>
    <t xml:space="preserve">Countertop Quartz Selection (edge profile) Square In with Vanity Price </t>
  </si>
  <si>
    <t xml:space="preserve">Cacjr Granite All Quartz </t>
  </si>
  <si>
    <t xml:space="preserve">Coretec Flooring - Main Area </t>
  </si>
  <si>
    <t xml:space="preserve">Capet Add-On 4 Rooms </t>
  </si>
  <si>
    <t xml:space="preserve">991 Sq Ft Carpet &amp; Padding </t>
  </si>
  <si>
    <t xml:space="preserve">Add-on Carpet f4 Rooms Upstairs </t>
  </si>
  <si>
    <t>Add-on Permit difference from Allowance 150.00 Cost  2940.00</t>
  </si>
  <si>
    <t xml:space="preserve">Add-on EV charger </t>
  </si>
  <si>
    <t xml:space="preserve">Credit for 2800.00 HVAC customer paying </t>
  </si>
  <si>
    <t xml:space="preserve">NO- Charge Installations  Ceiling Fans - Cost in allowances </t>
  </si>
  <si>
    <t xml:space="preserve">Actual  Cost </t>
  </si>
  <si>
    <t>Lead Responsible Material Recieved on Jobsite</t>
  </si>
  <si>
    <t xml:space="preserve">Base Trim for Bathroom to match exsiting  </t>
  </si>
  <si>
    <t>Sink  17"</t>
  </si>
  <si>
    <t xml:space="preserve">Toilet Kohler Cimarron Comfort Height Round Bowl </t>
  </si>
  <si>
    <t xml:space="preserve">Toilet Kohler Drift Toilet Seat  </t>
  </si>
  <si>
    <t>Lowes</t>
  </si>
  <si>
    <t xml:space="preserve">Device Color &amp; Style nned 2 Toggle Switch with Double Plate </t>
  </si>
  <si>
    <t xml:space="preserve">Vanity - Countryside, Hallmark Door -Lily Paint + Tax  </t>
  </si>
  <si>
    <t xml:space="preserve">Vanity Top Beveled Edge   Carrara Morro  $364.00 </t>
  </si>
  <si>
    <t xml:space="preserve">Celso Quote sent 4/18 </t>
  </si>
  <si>
    <t xml:space="preserve">Vanity Handles / Knobs </t>
  </si>
  <si>
    <t>Life Proof Ivory Lane Special Order 15 day ALG HD</t>
  </si>
  <si>
    <t xml:space="preserve">Paint  Walls: Aura Bath &amp; Spa #1394 Sugar Confite </t>
  </si>
  <si>
    <t xml:space="preserve">JC Licht </t>
  </si>
  <si>
    <t xml:space="preserve">Sample ordered </t>
  </si>
  <si>
    <t xml:space="preserve">Paint: Ceiling Aura Bath &amp; Spa Ceiling White </t>
  </si>
  <si>
    <t>Reggie Belcher 38660-LNC</t>
  </si>
  <si>
    <t xml:space="preserve">Shower Handle Trim   </t>
  </si>
  <si>
    <t xml:space="preserve">Shower Rain Head Wall Mounted </t>
  </si>
  <si>
    <t xml:space="preserve">2- Towel Bar </t>
  </si>
  <si>
    <t xml:space="preserve">2 - Light Blubs </t>
  </si>
  <si>
    <t xml:space="preserve">Handles - 7 </t>
  </si>
  <si>
    <t>Sentrel</t>
  </si>
  <si>
    <t xml:space="preserve">Panels </t>
  </si>
  <si>
    <t xml:space="preserve">Shelve/Niche </t>
  </si>
  <si>
    <t xml:space="preserve">Glass Shelves </t>
  </si>
  <si>
    <t>Replace Medicine Cabinet Glass shelf</t>
  </si>
  <si>
    <t xml:space="preserve">Leadnglass Wheeling </t>
  </si>
  <si>
    <t xml:space="preserve">Brackets for Shelves </t>
  </si>
  <si>
    <t xml:space="preserve">Home Deoot Replace backorder items fro Ferguson 5/19 </t>
  </si>
  <si>
    <t>DeSalvo, Paul and Karen 36590-LNX</t>
  </si>
  <si>
    <t xml:space="preserve">*** Confirm Drain for Garbage Disposal </t>
  </si>
  <si>
    <t xml:space="preserve">Faucet  </t>
  </si>
  <si>
    <t xml:space="preserve">*** Add-on Garbage Disposal </t>
  </si>
  <si>
    <t xml:space="preserve">LED under Cabinet Lighting </t>
  </si>
  <si>
    <t xml:space="preserve">Hall Light by Garage </t>
  </si>
  <si>
    <t xml:space="preserve">Countertop - Blanca Arabescato, Beveled Edge   </t>
  </si>
  <si>
    <t xml:space="preserve">MSI/ Celso </t>
  </si>
  <si>
    <t xml:space="preserve">Backsplash Selection Tile </t>
  </si>
  <si>
    <t>*Tile Ragno /  Look / Avio Color R8FQ</t>
  </si>
  <si>
    <t>* Grout &amp; Caulk</t>
  </si>
  <si>
    <t>6.1/25</t>
  </si>
  <si>
    <t xml:space="preserve">Schulter Edging Trim for backsplash tile Matte Black </t>
  </si>
  <si>
    <t xml:space="preserve">Pantry Doors, Knobs, Finish Trim &amp; Wire Shelves </t>
  </si>
  <si>
    <t xml:space="preserve">Double Pre-hung 6 Panel Primed door </t>
  </si>
  <si>
    <t xml:space="preserve">Standard / Menards </t>
  </si>
  <si>
    <t xml:space="preserve">2 1/4" Colonial Casing </t>
  </si>
  <si>
    <t xml:space="preserve">3 1/4" Colonial Floor Base &amp; Shoe Closet and Kitchen </t>
  </si>
  <si>
    <t xml:space="preserve">5 - White Wire Shelves for pantry </t>
  </si>
  <si>
    <t xml:space="preserve">Home Depot Travis </t>
  </si>
  <si>
    <t xml:space="preserve">2 - Panty Door Knobs </t>
  </si>
  <si>
    <t>Misc.</t>
  </si>
  <si>
    <t>2- sidewall grilles-(black)</t>
  </si>
  <si>
    <t>R-15 wall insulation</t>
  </si>
  <si>
    <t>R-38 attic insulation</t>
  </si>
  <si>
    <t xml:space="preserve">Appliances </t>
  </si>
  <si>
    <t xml:space="preserve">Customer Purchased, Spec's in BT </t>
  </si>
  <si>
    <t>Customer Paid for Permit Credit $150.00  Change order issued 3/21/25</t>
  </si>
  <si>
    <t xml:space="preserve">Customer issue credit for permit charge card fee per Jeremy </t>
  </si>
  <si>
    <t xml:space="preserve">Issue Credit for unused allowance </t>
  </si>
  <si>
    <t>Janet and Jack Carran  38348-LNX</t>
  </si>
  <si>
    <t xml:space="preserve">Purchased 9300.00 sales math CSI </t>
  </si>
  <si>
    <t xml:space="preserve">Window </t>
  </si>
  <si>
    <t xml:space="preserve">ProVia Kitchen Window </t>
  </si>
  <si>
    <t xml:space="preserve">Window Casing </t>
  </si>
  <si>
    <t xml:space="preserve">Ice &amp; Water Shield </t>
  </si>
  <si>
    <t xml:space="preserve">Travis ordered Floor and Decor Start Shower Material </t>
  </si>
  <si>
    <t xml:space="preserve">Floor &amp; Decor </t>
  </si>
  <si>
    <t>bay 21</t>
  </si>
  <si>
    <t xml:space="preserve">Shower Handle Trim  (backorder 3/24) </t>
  </si>
  <si>
    <t xml:space="preserve">Shower Door (Back ordered 4/14) </t>
  </si>
  <si>
    <t>ferguson re order</t>
  </si>
  <si>
    <t xml:space="preserve">MSI Kaya Calactta  (Wall and Floor) </t>
  </si>
  <si>
    <t xml:space="preserve">6 - Schulter Edging </t>
  </si>
  <si>
    <t>Grout   (color Match Lou to order )</t>
  </si>
  <si>
    <t xml:space="preserve">Caulk  (Color match Lou to order) </t>
  </si>
  <si>
    <t xml:space="preserve">Floor &amp; Decore </t>
  </si>
  <si>
    <t xml:space="preserve">Paint  Walls: Olympic Mountains 971, Ceiling: White </t>
  </si>
  <si>
    <t xml:space="preserve">8 -  Door Knobs Replaced </t>
  </si>
  <si>
    <t xml:space="preserve">Black Matte Hinges - (Lou to order for Match) </t>
  </si>
  <si>
    <t>Peggy and Tom Schemnauer 38376-LNX</t>
  </si>
  <si>
    <t xml:space="preserve">Damaged or Return Notes </t>
  </si>
  <si>
    <t xml:space="preserve">*** Permit Allowance - Add-on </t>
  </si>
  <si>
    <t xml:space="preserve">Village of Gurnee </t>
  </si>
  <si>
    <t xml:space="preserve">Kitchen Faucet </t>
  </si>
  <si>
    <t>Home Depot</t>
  </si>
  <si>
    <t>Bay 25</t>
  </si>
  <si>
    <t xml:space="preserve">Kitchen Sink </t>
  </si>
  <si>
    <t xml:space="preserve">*** Confirm Drain </t>
  </si>
  <si>
    <t>(Drain attached to sink)</t>
  </si>
  <si>
    <t xml:space="preserve">Water Line for Ice Maker </t>
  </si>
  <si>
    <t xml:space="preserve">Plumbing Material for Dishwasher </t>
  </si>
  <si>
    <t xml:space="preserve">Electrical Outlets - New Location on Island </t>
  </si>
  <si>
    <t xml:space="preserve">Replace Existing Outlets (Move Desk Outlet same Hieght) </t>
  </si>
  <si>
    <t>Cabinet Selection (23)</t>
  </si>
  <si>
    <t>Hardware for Cabinets ((15) 7 9/16” Center Pull
(33) 5 1/32” Center Pull 
(5) Knobs.</t>
  </si>
  <si>
    <t xml:space="preserve">Counters </t>
  </si>
  <si>
    <t xml:space="preserve">Countertop Selection (Material, edge profile, color) </t>
  </si>
  <si>
    <t>Appliance Selection (Brand, model, specifications)</t>
  </si>
  <si>
    <t xml:space="preserve">Customer Purchased Specs BT </t>
  </si>
  <si>
    <t xml:space="preserve">Paint Kitchen Walls (No Ceiling paint figured) </t>
  </si>
  <si>
    <t xml:space="preserve">Add-On Paint Ceiling </t>
  </si>
  <si>
    <t xml:space="preserve">Actual cost </t>
  </si>
  <si>
    <t xml:space="preserve">Framing Material </t>
  </si>
  <si>
    <t xml:space="preserve">Drywall </t>
  </si>
  <si>
    <t xml:space="preserve">Drywall Tape </t>
  </si>
  <si>
    <t xml:space="preserve">Drywall Mud </t>
  </si>
  <si>
    <t xml:space="preserve">Schulter Drain Kit  Chrome </t>
  </si>
  <si>
    <t>Bay 21</t>
  </si>
  <si>
    <t xml:space="preserve">Schulter Shower Tray 38 x 60 </t>
  </si>
  <si>
    <t xml:space="preserve">Kerdi-Board Shower Curb 48 x 6' </t>
  </si>
  <si>
    <t xml:space="preserve">Kerdi band 5" x 16' </t>
  </si>
  <si>
    <t xml:space="preserve">pack of 2 Kerdi - Inside corner </t>
  </si>
  <si>
    <t xml:space="preserve">pack of 2 Kerdi - outside corner </t>
  </si>
  <si>
    <t xml:space="preserve">Kerdi Drain Flange </t>
  </si>
  <si>
    <t xml:space="preserve">Moen Hand Held Shower Package </t>
  </si>
  <si>
    <t xml:space="preserve">Moen Shower Handle Trim  </t>
  </si>
  <si>
    <t xml:space="preserve">Moen EL Wall Supply Elbow </t>
  </si>
  <si>
    <t xml:space="preserve">Toilet Wax Ring Kit (re-install SAVED Toilet) </t>
  </si>
  <si>
    <t xml:space="preserve">Shower Door NOTE Order once Tile is Done </t>
  </si>
  <si>
    <t xml:space="preserve">Send Temporary Shower Rod Set-up to Customer </t>
  </si>
  <si>
    <t xml:space="preserve">** ADDON Upstairs Bath Drain </t>
  </si>
  <si>
    <t>Travis  will pick up 4/23/25</t>
  </si>
  <si>
    <t xml:space="preserve">12 x 24 Bath Floor Tile </t>
  </si>
  <si>
    <t xml:space="preserve">The tile shop </t>
  </si>
  <si>
    <t xml:space="preserve">12 x 24 Bath Wall Tile </t>
  </si>
  <si>
    <t xml:space="preserve">Mosaic Shower Floor Tile </t>
  </si>
  <si>
    <t xml:space="preserve">Gold Stone Sealer </t>
  </si>
  <si>
    <t xml:space="preserve">2 Package of Chrome Tile Edging </t>
  </si>
  <si>
    <t xml:space="preserve">Grout &amp; Caulk (NOTE: Customer pick at start) </t>
  </si>
  <si>
    <t xml:space="preserve">Granite </t>
  </si>
  <si>
    <t xml:space="preserve">Blue Pearl Granite Corner Seat, Corner Shelve and Shower Curb </t>
  </si>
  <si>
    <t xml:space="preserve">Dreamline Shower Door (To be order when Tile Done CF Size ) </t>
  </si>
  <si>
    <t xml:space="preserve">Ferguson - project Saved </t>
  </si>
  <si>
    <t xml:space="preserve">Staging Area </t>
  </si>
  <si>
    <t xml:space="preserve">Bedroom Fixture </t>
  </si>
  <si>
    <t xml:space="preserve">Bedroom Closet Light </t>
  </si>
  <si>
    <t>Luxury Vinyl Plank (LVP) flooring – 1,000 sq. ft.</t>
  </si>
  <si>
    <t>Carpet and padding (for bedroom and closet)</t>
  </si>
  <si>
    <t xml:space="preserve">Radiant Heat Mat </t>
  </si>
  <si>
    <t xml:space="preserve">Bath Floor Tile </t>
  </si>
  <si>
    <t xml:space="preserve">Grout to match </t>
  </si>
  <si>
    <t xml:space="preserve">Caulk to match </t>
  </si>
  <si>
    <t xml:space="preserve">Painting - Open Area  </t>
  </si>
  <si>
    <t>30'  Wire shelves for closets</t>
  </si>
  <si>
    <t xml:space="preserve">Schulter Shower Base 48" x 36" </t>
  </si>
  <si>
    <t xml:space="preserve">Shower Base Tile 12 Sq Ft </t>
  </si>
  <si>
    <t>Shower Wall Tile 92 Sq Ft</t>
  </si>
  <si>
    <t>Quartz caps for shower curb, seat 12" x 18" , and niche</t>
  </si>
  <si>
    <t xml:space="preserve">Grout to match all </t>
  </si>
  <si>
    <t xml:space="preserve">Caulk to match all </t>
  </si>
  <si>
    <t xml:space="preserve">2 - Towel bars or Hooks </t>
  </si>
  <si>
    <t>T.P. Holder</t>
  </si>
  <si>
    <t>☐ Cabinet moldings and hardware</t>
  </si>
  <si>
    <t xml:space="preserve">Gas 46" Liner Fireplace Insert </t>
  </si>
  <si>
    <t>☐ Quartz countertop and undermount sink</t>
  </si>
  <si>
    <t xml:space="preserve">Stone Veneer from Floor to Ceiling </t>
  </si>
  <si>
    <t>☐ Wet bar faucet, sink, and drain kit</t>
  </si>
  <si>
    <t xml:space="preserve">Cabinet Furniture Base and Crown </t>
  </si>
  <si>
    <t xml:space="preserve">Media &amp; Wet Bar </t>
  </si>
  <si>
    <t xml:space="preserve">2 Cabinet made Shelves above Sink </t>
  </si>
  <si>
    <t xml:space="preserve">Countertop Quartz Selection (edge profile) </t>
  </si>
  <si>
    <t xml:space="preserve">Stone Veneer Backsplash </t>
  </si>
  <si>
    <t xml:space="preserve">4 - Pendant Fixtures </t>
  </si>
  <si>
    <t xml:space="preserve">Dining Table Fixture </t>
  </si>
  <si>
    <t xml:space="preserve">Pantry Light </t>
  </si>
  <si>
    <t xml:space="preserve">* Grout </t>
  </si>
  <si>
    <t xml:space="preserve">* Caulk </t>
  </si>
  <si>
    <t xml:space="preserve">* Edging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</si>
</sst>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8" formatCode="&quot;$&quot;#,##0.00_);[Red]\(&quot;$&quot;#,##0.00\)"/>
    <numFmt numFmtId="164" formatCode="&quot;$&quot;#,##0.00"/>
  </numFmts>
  <fonts count="30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0"/>
      <color rgb="FF1F497D"/>
      <name val="Book Antiqua"/>
      <family val="1"/>
      <charset val="1"/>
    </font>
    <font>
      <sz val="12"/>
      <color rgb="FF1D2228"/>
      <name val="Helvetica Neue"/>
      <family val="1"/>
      <charset val="1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4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rgb="FFFF0000"/>
      <name val="Calibri"/>
      <family val="2"/>
    </font>
    <font>
      <sz val="13.5"/>
      <color rgb="FF77787B"/>
      <name val="Arabic Typesetting"/>
    </font>
    <font>
      <sz val="11"/>
      <color theme="1"/>
      <name val="Arabic Typesetting"/>
    </font>
    <font>
      <sz val="10"/>
      <color rgb="FF77787B"/>
      <name val="Arial"/>
    </font>
    <font>
      <sz val="9"/>
      <color rgb="FF77787B"/>
      <name val="Arial"/>
    </font>
    <font>
      <sz val="12"/>
      <color theme="1"/>
      <name val="Calibri"/>
    </font>
    <font>
      <b/>
      <sz val="12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7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wrapText="1"/>
    </xf>
    <xf numFmtId="0" fontId="1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1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4" fontId="1" fillId="0" borderId="0" xfId="0" applyNumberFormat="1" applyFont="1"/>
    <xf numFmtId="0" fontId="2" fillId="0" borderId="0" xfId="0" applyFont="1" applyAlignment="1">
      <alignment horizontal="left" vertical="center" indent="7"/>
    </xf>
    <xf numFmtId="0" fontId="1" fillId="2" borderId="0" xfId="0" applyFont="1" applyFill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readingOrder="1"/>
    </xf>
    <xf numFmtId="164" fontId="5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164" fontId="6" fillId="0" borderId="0" xfId="0" applyNumberFormat="1" applyFont="1" applyAlignment="1">
      <alignment readingOrder="1"/>
    </xf>
    <xf numFmtId="14" fontId="1" fillId="0" borderId="0" xfId="0" applyNumberFormat="1" applyFont="1" applyAlignment="1">
      <alignment wrapText="1"/>
    </xf>
    <xf numFmtId="164" fontId="5" fillId="0" borderId="0" xfId="0" applyNumberFormat="1" applyFont="1" applyAlignment="1">
      <alignment wrapText="1"/>
    </xf>
    <xf numFmtId="164" fontId="7" fillId="0" borderId="0" xfId="0" applyNumberFormat="1" applyFont="1"/>
    <xf numFmtId="0" fontId="5" fillId="2" borderId="0" xfId="0" applyFont="1" applyFill="1" applyAlignment="1">
      <alignment wrapText="1"/>
    </xf>
    <xf numFmtId="0" fontId="5" fillId="2" borderId="0" xfId="0" applyFont="1" applyFill="1"/>
    <xf numFmtId="164" fontId="2" fillId="0" borderId="0" xfId="0" applyNumberFormat="1" applyFont="1" applyAlignment="1">
      <alignment wrapText="1"/>
    </xf>
    <xf numFmtId="164" fontId="1" fillId="2" borderId="0" xfId="0" applyNumberFormat="1" applyFont="1" applyFill="1"/>
    <xf numFmtId="0" fontId="1" fillId="2" borderId="0" xfId="0" applyFont="1" applyFill="1" applyAlignment="1">
      <alignment vertical="center"/>
    </xf>
    <xf numFmtId="14" fontId="1" fillId="2" borderId="0" xfId="0" applyNumberFormat="1" applyFont="1" applyFill="1"/>
    <xf numFmtId="164" fontId="8" fillId="0" borderId="0" xfId="0" applyNumberFormat="1" applyFont="1"/>
    <xf numFmtId="0" fontId="1" fillId="2" borderId="0" xfId="0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0" applyFont="1" applyFill="1"/>
    <xf numFmtId="0" fontId="9" fillId="0" borderId="0" xfId="0" applyFont="1"/>
    <xf numFmtId="0" fontId="11" fillId="0" borderId="0" xfId="0" applyFont="1"/>
    <xf numFmtId="164" fontId="9" fillId="0" borderId="0" xfId="0" applyNumberFormat="1" applyFont="1"/>
    <xf numFmtId="8" fontId="1" fillId="0" borderId="0" xfId="0" applyNumberFormat="1" applyFont="1"/>
    <xf numFmtId="8" fontId="10" fillId="0" borderId="0" xfId="0" applyNumberFormat="1" applyFont="1"/>
    <xf numFmtId="164" fontId="0" fillId="0" borderId="0" xfId="0" applyNumberFormat="1"/>
    <xf numFmtId="164" fontId="2" fillId="2" borderId="0" xfId="0" applyNumberFormat="1" applyFont="1" applyFill="1"/>
    <xf numFmtId="0" fontId="2" fillId="2" borderId="0" xfId="0" applyFont="1" applyFill="1" applyAlignment="1">
      <alignment vertical="center"/>
    </xf>
    <xf numFmtId="0" fontId="12" fillId="0" borderId="0" xfId="0" applyFont="1"/>
    <xf numFmtId="0" fontId="9" fillId="2" borderId="0" xfId="0" applyFont="1" applyFill="1"/>
    <xf numFmtId="164" fontId="14" fillId="0" borderId="0" xfId="0" applyNumberFormat="1" applyFont="1"/>
    <xf numFmtId="164" fontId="2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/>
    <xf numFmtId="164" fontId="15" fillId="0" borderId="0" xfId="0" applyNumberFormat="1" applyFont="1" applyAlignment="1">
      <alignment readingOrder="1"/>
    </xf>
    <xf numFmtId="0" fontId="15" fillId="0" borderId="0" xfId="0" applyFont="1" applyAlignment="1">
      <alignment readingOrder="1"/>
    </xf>
    <xf numFmtId="0" fontId="2" fillId="0" borderId="0" xfId="0" applyFont="1" applyAlignment="1">
      <alignment horizontal="center" vertical="center"/>
    </xf>
    <xf numFmtId="0" fontId="16" fillId="0" borderId="0" xfId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7" fontId="2" fillId="0" borderId="0" xfId="0" applyNumberFormat="1" applyFont="1" applyAlignment="1">
      <alignment horizontal="right"/>
    </xf>
    <xf numFmtId="7" fontId="1" fillId="0" borderId="0" xfId="0" applyNumberFormat="1" applyFont="1" applyAlignment="1">
      <alignment horizontal="right"/>
    </xf>
    <xf numFmtId="7" fontId="6" fillId="0" borderId="0" xfId="0" applyNumberFormat="1" applyFont="1" applyAlignment="1">
      <alignment horizontal="right" readingOrder="1"/>
    </xf>
    <xf numFmtId="7" fontId="1" fillId="2" borderId="0" xfId="0" applyNumberFormat="1" applyFont="1" applyFill="1" applyAlignment="1">
      <alignment horizontal="right"/>
    </xf>
    <xf numFmtId="0" fontId="17" fillId="0" borderId="0" xfId="0" applyFont="1"/>
    <xf numFmtId="0" fontId="7" fillId="2" borderId="0" xfId="0" applyFont="1" applyFill="1"/>
    <xf numFmtId="14" fontId="2" fillId="2" borderId="0" xfId="0" applyNumberFormat="1" applyFont="1" applyFill="1"/>
    <xf numFmtId="0" fontId="2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" fontId="13" fillId="0" borderId="0" xfId="0" applyNumberFormat="1" applyFont="1"/>
    <xf numFmtId="164" fontId="20" fillId="0" borderId="0" xfId="0" applyNumberFormat="1" applyFont="1"/>
    <xf numFmtId="0" fontId="10" fillId="0" borderId="0" xfId="0" applyFont="1" applyAlignment="1">
      <alignment horizontal="right"/>
    </xf>
    <xf numFmtId="0" fontId="21" fillId="0" borderId="0" xfId="0" applyFont="1" applyAlignment="1">
      <alignment wrapText="1"/>
    </xf>
    <xf numFmtId="0" fontId="22" fillId="0" borderId="0" xfId="0" applyFont="1"/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/>
    <xf numFmtId="0" fontId="26" fillId="0" borderId="0" xfId="0" applyFont="1"/>
    <xf numFmtId="164" fontId="25" fillId="0" borderId="0" xfId="0" applyNumberFormat="1" applyFont="1"/>
    <xf numFmtId="0" fontId="26" fillId="0" borderId="0" xfId="0" applyFont="1" applyAlignment="1">
      <alignment vertical="center"/>
    </xf>
    <xf numFmtId="164" fontId="26" fillId="0" borderId="0" xfId="0" applyNumberFormat="1" applyFont="1"/>
    <xf numFmtId="164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 wrapText="1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7" fillId="0" borderId="0" xfId="0" applyFont="1"/>
    <xf numFmtId="0" fontId="25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25" fillId="0" borderId="0" xfId="0" applyNumberFormat="1" applyFont="1"/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wrapText="1"/>
    </xf>
    <xf numFmtId="164" fontId="28" fillId="0" borderId="0" xfId="0" applyNumberFormat="1" applyFont="1" applyAlignment="1">
      <alignment readingOrder="1"/>
    </xf>
    <xf numFmtId="0" fontId="28" fillId="0" borderId="0" xfId="0" applyFont="1" applyAlignment="1">
      <alignment readingOrder="1"/>
    </xf>
    <xf numFmtId="0" fontId="25" fillId="0" borderId="0" xfId="0" applyFont="1" applyAlignment="1">
      <alignment horizontal="left" vertical="center" indent="7"/>
    </xf>
    <xf numFmtId="0" fontId="26" fillId="0" borderId="0" xfId="0" applyFont="1" applyAlignment="1">
      <alignment horizontal="left" vertical="center" indent="7"/>
    </xf>
    <xf numFmtId="164" fontId="25" fillId="2" borderId="0" xfId="0" applyNumberFormat="1" applyFont="1" applyFill="1"/>
    <xf numFmtId="16" fontId="25" fillId="0" borderId="0" xfId="0" applyNumberFormat="1" applyFont="1"/>
    <xf numFmtId="0" fontId="29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164" fontId="20" fillId="0" borderId="1" xfId="0" applyNumberFormat="1" applyFont="1" applyBorder="1"/>
    <xf numFmtId="14" fontId="26" fillId="0" borderId="0" xfId="0" applyNumberFormat="1" applyFont="1"/>
    <xf numFmtId="0" fontId="20" fillId="0" borderId="0" xfId="0" applyFont="1"/>
    <xf numFmtId="0" fontId="10" fillId="0" borderId="0" xfId="0" applyFont="1"/>
    <xf numFmtId="164" fontId="10" fillId="0" borderId="0" xfId="0" applyNumberFormat="1" applyFont="1"/>
    <xf numFmtId="0" fontId="10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 applyAlignment="1">
      <alignment horizontal="left"/>
    </xf>
    <xf numFmtId="0" fontId="16" fillId="0" borderId="0" xfId="1" applyAlignment="1">
      <alignment wrapText="1"/>
    </xf>
    <xf numFmtId="0" fontId="12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164" fontId="12" fillId="0" borderId="0" xfId="0" applyNumberFormat="1" applyFont="1"/>
    <xf numFmtId="164" fontId="12" fillId="0" borderId="0" xfId="0" applyNumberFormat="1" applyFont="1" applyAlignment="1">
      <alignment wrapText="1"/>
    </xf>
    <xf numFmtId="0" fontId="6" fillId="0" borderId="0" xfId="0" applyFont="1"/>
    <xf numFmtId="4" fontId="1" fillId="0" borderId="0" xfId="0" applyNumberFormat="1" applyFont="1"/>
    <xf numFmtId="0" fontId="27" fillId="2" borderId="0" xfId="0" applyFont="1" applyFill="1"/>
    <xf numFmtId="0" fontId="25" fillId="2" borderId="0" xfId="0" applyFont="1" applyFill="1"/>
    <xf numFmtId="14" fontId="25" fillId="2" borderId="0" xfId="0" applyNumberFormat="1" applyFont="1" applyFill="1"/>
    <xf numFmtId="0" fontId="25" fillId="2" borderId="0" xfId="0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sheetMetadata" Target="metadata.xml"/><Relationship Id="rId55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microsoft.com/office/2017/06/relationships/rdRichValueStructure" Target="richData/rdrichvaluestructure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microsoft.com/office/2022/10/relationships/richValueRel" Target="richData/richValueRel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microsoft.com/office/2017/06/relationships/rdRichValue" Target="richData/rdrichvalu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rgusonhome.com/panasonic-fv-0510vsl1/s1367152?uid=3217466" TargetMode="External"/><Relationship Id="rId1" Type="http://schemas.openxmlformats.org/officeDocument/2006/relationships/hyperlink" Target="https://www.fergusonhome.com/panasonic-fv-0510vs1/s1286588?uid=316251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rgusonhome.com/moen-2570/s136731?uid=2553010" TargetMode="External"/><Relationship Id="rId2" Type="http://schemas.openxmlformats.org/officeDocument/2006/relationships/hyperlink" Target="https://www.fergusonhome.com/moen-t2903nh/s1434099?uid=3882444" TargetMode="External"/><Relationship Id="rId1" Type="http://schemas.openxmlformats.org/officeDocument/2006/relationships/hyperlink" Target="https://www.fergusonhome.com/moen-220c5/s1965009?uid=4649839" TargetMode="External"/><Relationship Id="rId5" Type="http://schemas.openxmlformats.org/officeDocument/2006/relationships/printerSettings" Target="../printerSettings/printerSettings26.bin"/><Relationship Id="rId4" Type="http://schemas.openxmlformats.org/officeDocument/2006/relationships/hyperlink" Target="https://www.homedepot.com/p/Delta-Classic-500-60-in-x-30-in-Alcove-Deep-Soaking-Bathtub-with-Left-Drain-in-High-Gloss-White-B23605-6030L-WH/321016480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9BC9-20D4-4040-8EAD-4854016559E8}">
  <dimension ref="B2:E6"/>
  <sheetViews>
    <sheetView workbookViewId="0">
      <selection sqref="A1:F1"/>
    </sheetView>
  </sheetViews>
  <sheetFormatPr defaultRowHeight="14.65"/>
  <cols>
    <col min="1" max="1" width="26.42578125" customWidth="1"/>
    <col min="2" max="2" width="19.7109375" customWidth="1"/>
    <col min="3" max="5" width="26.42578125" customWidth="1"/>
  </cols>
  <sheetData>
    <row r="2" spans="2:5" s="47" customFormat="1"/>
    <row r="4" spans="2:5">
      <c r="B4" s="44"/>
      <c r="C4" s="44"/>
      <c r="D4" s="44"/>
      <c r="E4" s="44"/>
    </row>
    <row r="6" spans="2:5">
      <c r="B6" s="44"/>
      <c r="C6" s="44"/>
      <c r="D6" s="44"/>
      <c r="E6" s="4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3AA4-A227-496B-A3C3-AA430C77A1E2}">
  <dimension ref="B2:E6"/>
  <sheetViews>
    <sheetView workbookViewId="0">
      <selection activeCell="F1" sqref="F1"/>
    </sheetView>
  </sheetViews>
  <sheetFormatPr defaultRowHeight="14.65"/>
  <cols>
    <col min="1" max="1" width="26.42578125" customWidth="1"/>
    <col min="2" max="2" width="19.7109375" customWidth="1"/>
    <col min="3" max="5" width="26.42578125" customWidth="1"/>
  </cols>
  <sheetData>
    <row r="2" spans="2:5" s="47" customFormat="1"/>
    <row r="4" spans="2:5">
      <c r="B4" s="44"/>
      <c r="C4" s="44"/>
      <c r="D4" s="44"/>
      <c r="E4" s="44"/>
    </row>
    <row r="6" spans="2:5">
      <c r="B6" s="44"/>
      <c r="C6" s="44"/>
      <c r="D6" s="44"/>
      <c r="E6" s="4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7AA6-0B7B-4C9C-AB34-CF41AEBA3ED3}">
  <dimension ref="A1:E6"/>
  <sheetViews>
    <sheetView workbookViewId="0">
      <selection activeCell="A7" sqref="A7"/>
    </sheetView>
  </sheetViews>
  <sheetFormatPr defaultRowHeight="14.65"/>
  <cols>
    <col min="1" max="1" width="26.42578125" customWidth="1"/>
    <col min="2" max="2" width="19.7109375" customWidth="1"/>
    <col min="3" max="4" width="26.42578125" customWidth="1"/>
    <col min="5" max="5" width="11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47" customFormat="1"/>
    <row r="4" spans="1:5">
      <c r="B4" s="44"/>
      <c r="C4" s="44"/>
      <c r="D4" s="44"/>
    </row>
    <row r="6" spans="1:5">
      <c r="B6" s="44"/>
      <c r="C6" s="44"/>
      <c r="D6" s="4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F36A-E7C3-4999-BA19-224714947AC5}">
  <dimension ref="A1:E12"/>
  <sheetViews>
    <sheetView tabSelected="1" workbookViewId="0">
      <selection activeCell="B12" sqref="B12"/>
    </sheetView>
  </sheetViews>
  <sheetFormatPr defaultRowHeight="14.65"/>
  <cols>
    <col min="1" max="1" width="26.42578125" customWidth="1"/>
    <col min="2" max="2" width="19.7109375" customWidth="1"/>
    <col min="3" max="5" width="26.42578125" customWidth="1"/>
  </cols>
  <sheetData>
    <row r="1" spans="1:5" s="47" customFormat="1">
      <c r="A1" s="47" t="s">
        <v>5</v>
      </c>
    </row>
    <row r="2" spans="1:5" s="47" customFormat="1">
      <c r="B2" t="s">
        <v>6</v>
      </c>
    </row>
    <row r="3" spans="1:5">
      <c r="B3" t="s">
        <v>7</v>
      </c>
    </row>
    <row r="4" spans="1:5">
      <c r="B4" t="s">
        <v>8</v>
      </c>
      <c r="C4" s="44"/>
      <c r="D4" s="44"/>
      <c r="E4" s="44"/>
    </row>
    <row r="5" spans="1:5">
      <c r="B5" t="s">
        <v>9</v>
      </c>
    </row>
    <row r="6" spans="1:5">
      <c r="B6" t="s">
        <v>10</v>
      </c>
      <c r="C6" s="44"/>
      <c r="D6" s="44"/>
      <c r="E6" s="44"/>
    </row>
    <row r="7" spans="1:5">
      <c r="B7" t="s">
        <v>11</v>
      </c>
    </row>
    <row r="8" spans="1:5">
      <c r="B8" t="s">
        <v>12</v>
      </c>
    </row>
    <row r="9" spans="1:5">
      <c r="B9" t="s">
        <v>13</v>
      </c>
    </row>
    <row r="10" spans="1:5">
      <c r="B10" t="s">
        <v>14</v>
      </c>
    </row>
    <row r="11" spans="1:5">
      <c r="B11" t="s">
        <v>15</v>
      </c>
    </row>
    <row r="12" spans="1:5">
      <c r="B12" t="s">
        <v>11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8084-3D0A-4705-8267-E0C9DEBD3253}">
  <dimension ref="A1:E8"/>
  <sheetViews>
    <sheetView workbookViewId="0">
      <selection activeCell="B9" sqref="B9"/>
    </sheetView>
  </sheetViews>
  <sheetFormatPr defaultRowHeight="14.65"/>
  <cols>
    <col min="1" max="1" width="26.42578125" customWidth="1"/>
    <col min="2" max="2" width="19.7109375" customWidth="1"/>
    <col min="3" max="5" width="26.42578125" customWidth="1"/>
  </cols>
  <sheetData>
    <row r="1" spans="1:5" s="47" customFormat="1">
      <c r="A1" s="47" t="s">
        <v>16</v>
      </c>
    </row>
    <row r="2" spans="1:5" s="47" customFormat="1">
      <c r="B2" t="s">
        <v>17</v>
      </c>
    </row>
    <row r="3" spans="1:5">
      <c r="B3" t="s">
        <v>18</v>
      </c>
    </row>
    <row r="4" spans="1:5">
      <c r="B4" t="s">
        <v>19</v>
      </c>
      <c r="C4" s="44"/>
      <c r="D4" s="44"/>
      <c r="E4" s="44"/>
    </row>
    <row r="5" spans="1:5">
      <c r="B5" t="s">
        <v>20</v>
      </c>
    </row>
    <row r="6" spans="1:5">
      <c r="B6" t="s">
        <v>21</v>
      </c>
      <c r="C6" s="44"/>
      <c r="D6" s="44"/>
      <c r="E6" s="44"/>
    </row>
    <row r="7" spans="1:5">
      <c r="B7" t="s">
        <v>22</v>
      </c>
    </row>
    <row r="8" spans="1:5">
      <c r="B8" t="s">
        <v>23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EE32-0C2F-4653-8DA3-867BA04142F7}">
  <dimension ref="A1:C14"/>
  <sheetViews>
    <sheetView workbookViewId="0">
      <selection activeCell="E8" sqref="E8"/>
    </sheetView>
  </sheetViews>
  <sheetFormatPr defaultRowHeight="14.65"/>
  <cols>
    <col min="1" max="1" width="26.42578125" customWidth="1"/>
    <col min="2" max="2" width="30.85546875" customWidth="1"/>
    <col min="3" max="3" width="9.140625" bestFit="1" customWidth="1"/>
  </cols>
  <sheetData>
    <row r="1" spans="1:3" s="47" customFormat="1">
      <c r="A1" s="47" t="s">
        <v>24</v>
      </c>
    </row>
    <row r="2" spans="1:3" s="47" customFormat="1">
      <c r="B2" s="110" t="s">
        <v>25</v>
      </c>
    </row>
    <row r="3" spans="1:3">
      <c r="B3" s="110" t="s">
        <v>26</v>
      </c>
    </row>
    <row r="4" spans="1:3">
      <c r="B4" s="110" t="s">
        <v>27</v>
      </c>
      <c r="C4" s="44"/>
    </row>
    <row r="5" spans="1:3">
      <c r="B5" s="110" t="s">
        <v>28</v>
      </c>
    </row>
    <row r="6" spans="1:3">
      <c r="B6" s="110" t="s">
        <v>29</v>
      </c>
      <c r="C6" s="44"/>
    </row>
    <row r="7" spans="1:3">
      <c r="B7" s="110" t="s">
        <v>30</v>
      </c>
    </row>
    <row r="8" spans="1:3">
      <c r="B8" s="110" t="s">
        <v>31</v>
      </c>
    </row>
    <row r="9" spans="1:3">
      <c r="B9" s="110" t="s">
        <v>32</v>
      </c>
    </row>
    <row r="10" spans="1:3">
      <c r="B10" s="110" t="s">
        <v>33</v>
      </c>
    </row>
    <row r="11" spans="1:3">
      <c r="B11" s="110" t="s">
        <v>34</v>
      </c>
    </row>
    <row r="12" spans="1:3">
      <c r="B12" s="110" t="s">
        <v>35</v>
      </c>
    </row>
    <row r="13" spans="1:3">
      <c r="B13" s="110" t="s">
        <v>36</v>
      </c>
    </row>
    <row r="14" spans="1:3">
      <c r="B14" s="110" t="s">
        <v>37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9A41-7A18-4E12-B874-8DDDBA242F59}">
  <dimension ref="A1:F8"/>
  <sheetViews>
    <sheetView topLeftCell="B1" workbookViewId="0">
      <selection activeCell="B16" sqref="B16"/>
    </sheetView>
  </sheetViews>
  <sheetFormatPr defaultRowHeight="14.65"/>
  <cols>
    <col min="1" max="1" width="16.7109375" customWidth="1"/>
    <col min="2" max="2" width="57" style="97" customWidth="1"/>
    <col min="3" max="3" width="49.7109375" customWidth="1"/>
    <col min="4" max="4" width="15.7109375" customWidth="1"/>
    <col min="5" max="5" width="15.7109375" style="44" customWidth="1"/>
    <col min="6" max="6" width="21.7109375" customWidth="1"/>
    <col min="7" max="7" width="94.7109375" customWidth="1"/>
  </cols>
  <sheetData>
    <row r="1" spans="1:6">
      <c r="C1" t="s">
        <v>38</v>
      </c>
    </row>
    <row r="2" spans="1:6" s="47" customFormat="1">
      <c r="A2" s="47" t="s">
        <v>39</v>
      </c>
      <c r="B2" s="106" t="s">
        <v>40</v>
      </c>
      <c r="E2" s="108"/>
    </row>
    <row r="4" spans="1:6" s="47" customFormat="1" ht="29.1">
      <c r="A4" s="47" t="s">
        <v>41</v>
      </c>
      <c r="B4" s="106" t="s">
        <v>42</v>
      </c>
      <c r="D4" s="47" t="s">
        <v>43</v>
      </c>
      <c r="E4" s="109" t="s">
        <v>44</v>
      </c>
      <c r="F4" s="47" t="s">
        <v>45</v>
      </c>
    </row>
    <row r="5" spans="1:6" ht="29.1">
      <c r="A5" s="96">
        <v>45954</v>
      </c>
      <c r="B5" s="97" t="s">
        <v>46</v>
      </c>
      <c r="C5" s="105" t="s">
        <v>47</v>
      </c>
      <c r="D5" t="s">
        <v>48</v>
      </c>
      <c r="E5" s="44">
        <f>80*15%+80</f>
        <v>92</v>
      </c>
      <c r="F5" t="s">
        <v>49</v>
      </c>
    </row>
    <row r="6" spans="1:6">
      <c r="B6" s="107"/>
      <c r="C6" s="44"/>
      <c r="D6" s="44"/>
    </row>
    <row r="7" spans="1:6" ht="29.1">
      <c r="A7" s="96">
        <v>45954</v>
      </c>
      <c r="B7" s="97" t="s">
        <v>50</v>
      </c>
      <c r="C7" s="56" t="s">
        <v>51</v>
      </c>
      <c r="D7" t="s">
        <v>48</v>
      </c>
      <c r="E7" s="44">
        <f>135*15%+135</f>
        <v>155.25</v>
      </c>
      <c r="F7" t="s">
        <v>52</v>
      </c>
    </row>
    <row r="8" spans="1:6">
      <c r="B8" s="107"/>
      <c r="C8" s="44"/>
      <c r="D8" s="44"/>
    </row>
  </sheetData>
  <hyperlinks>
    <hyperlink ref="C5" r:id="rId1" xr:uid="{76D8E7E0-A73F-4F88-AA78-8914A3C30B33}"/>
    <hyperlink ref="C7" r:id="rId2" xr:uid="{884B1F04-C491-4B46-965A-AA250C4D68E2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63DD-0DB4-4405-9833-132DB24806F8}">
  <dimension ref="A2:F8"/>
  <sheetViews>
    <sheetView topLeftCell="B1" workbookViewId="0">
      <selection activeCell="B9" sqref="B9"/>
    </sheetView>
  </sheetViews>
  <sheetFormatPr defaultRowHeight="14.65"/>
  <cols>
    <col min="1" max="1" width="16.7109375" customWidth="1"/>
    <col min="2" max="2" width="57" customWidth="1"/>
    <col min="3" max="4" width="15.7109375" customWidth="1"/>
    <col min="5" max="5" width="16.42578125" customWidth="1"/>
    <col min="6" max="6" width="94.7109375" customWidth="1"/>
  </cols>
  <sheetData>
    <row r="2" spans="1:6" s="47" customFormat="1">
      <c r="A2" s="47" t="s">
        <v>39</v>
      </c>
    </row>
    <row r="4" spans="1:6" s="47" customFormat="1">
      <c r="A4" s="47" t="s">
        <v>41</v>
      </c>
      <c r="B4" s="47" t="s">
        <v>42</v>
      </c>
      <c r="C4" s="47" t="s">
        <v>43</v>
      </c>
      <c r="D4" s="47" t="s">
        <v>53</v>
      </c>
      <c r="E4" s="47" t="s">
        <v>45</v>
      </c>
      <c r="F4" s="47" t="s">
        <v>54</v>
      </c>
    </row>
    <row r="5" spans="1:6" ht="29.1">
      <c r="A5" s="96">
        <v>45954</v>
      </c>
      <c r="B5" s="97" t="s">
        <v>55</v>
      </c>
      <c r="C5" t="s">
        <v>8</v>
      </c>
      <c r="D5" t="s">
        <v>56</v>
      </c>
      <c r="E5" t="s">
        <v>49</v>
      </c>
    </row>
    <row r="6" spans="1:6">
      <c r="B6" s="44"/>
      <c r="C6" s="44"/>
      <c r="D6" s="44"/>
    </row>
    <row r="7" spans="1:6">
      <c r="A7" s="96">
        <v>45954</v>
      </c>
      <c r="B7" t="s">
        <v>57</v>
      </c>
      <c r="C7" t="s">
        <v>6</v>
      </c>
      <c r="D7" t="s">
        <v>58</v>
      </c>
      <c r="E7" t="s">
        <v>59</v>
      </c>
      <c r="F7" t="s">
        <v>60</v>
      </c>
    </row>
    <row r="8" spans="1:6">
      <c r="B8" s="44"/>
      <c r="C8" s="44"/>
      <c r="D8" s="4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F7E8-CC7C-44EF-B191-B09F162113B5}">
  <dimension ref="A2:C6"/>
  <sheetViews>
    <sheetView workbookViewId="0">
      <selection activeCell="A8" sqref="A8"/>
    </sheetView>
  </sheetViews>
  <sheetFormatPr defaultRowHeight="14.65"/>
  <cols>
    <col min="1" max="1" width="26.42578125" customWidth="1"/>
    <col min="2" max="3" width="9.140625" bestFit="1" customWidth="1"/>
  </cols>
  <sheetData>
    <row r="2" spans="1:3" s="47" customFormat="1">
      <c r="A2" s="47" t="s">
        <v>61</v>
      </c>
    </row>
    <row r="3" spans="1:3">
      <c r="A3" t="s">
        <v>62</v>
      </c>
    </row>
    <row r="4" spans="1:3">
      <c r="A4" t="s">
        <v>63</v>
      </c>
      <c r="B4" s="44">
        <v>102.83</v>
      </c>
      <c r="C4" s="44">
        <f>B4/0.68</f>
        <v>151.22058823529412</v>
      </c>
    </row>
    <row r="6" spans="1:3">
      <c r="A6" t="s">
        <v>64</v>
      </c>
      <c r="B6" s="44">
        <v>2400</v>
      </c>
      <c r="C6" s="44">
        <f>B6/0.68</f>
        <v>3529.411764705882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70D8-71EB-4E9C-8587-A2DA2EC0F052}">
  <dimension ref="A1:P66"/>
  <sheetViews>
    <sheetView workbookViewId="0">
      <pane ySplit="2" topLeftCell="A3" activePane="bottomLeft" state="frozen"/>
      <selection pane="bottomLeft" activeCell="F7" sqref="F7"/>
      <selection activeCell="C1" sqref="C1"/>
    </sheetView>
  </sheetViews>
  <sheetFormatPr defaultColWidth="8.85546875" defaultRowHeight="15.75" customHeight="1"/>
  <cols>
    <col min="1" max="1" width="12.7109375" style="74" customWidth="1"/>
    <col min="2" max="2" width="40.28515625" style="74" customWidth="1"/>
    <col min="3" max="3" width="15.28515625" style="74" customWidth="1"/>
    <col min="4" max="4" width="15" style="76" customWidth="1"/>
    <col min="5" max="5" width="1.85546875" style="76" customWidth="1"/>
    <col min="6" max="6" width="20" style="76" customWidth="1"/>
    <col min="7" max="7" width="2.7109375" style="74" customWidth="1"/>
    <col min="8" max="8" width="26.5703125" style="74" customWidth="1"/>
    <col min="9" max="9" width="13.7109375" style="74" customWidth="1"/>
    <col min="10" max="10" width="2.7109375" style="74" customWidth="1"/>
    <col min="11" max="11" width="9.140625" style="74" bestFit="1" customWidth="1"/>
    <col min="12" max="12" width="11.42578125" style="74" customWidth="1"/>
    <col min="13" max="13" width="2.140625" style="74" customWidth="1"/>
    <col min="14" max="14" width="9.140625" style="74" bestFit="1" customWidth="1"/>
    <col min="15" max="15" width="11.42578125" style="74" customWidth="1"/>
    <col min="16" max="16" width="32.5703125" style="74" customWidth="1"/>
    <col min="17" max="17" width="21.42578125" style="74" customWidth="1"/>
    <col min="18" max="16384" width="8.85546875" style="74"/>
  </cols>
  <sheetData>
    <row r="1" spans="1:16" s="75" customFormat="1" ht="15.95">
      <c r="A1" s="77" t="s">
        <v>65</v>
      </c>
      <c r="D1" s="78"/>
      <c r="E1" s="78"/>
      <c r="F1" s="78"/>
      <c r="K1" s="77"/>
      <c r="N1" s="77"/>
    </row>
    <row r="2" spans="1:16" s="75" customFormat="1" ht="47.65">
      <c r="B2" s="75" t="s">
        <v>66</v>
      </c>
      <c r="C2" s="75" t="s">
        <v>45</v>
      </c>
      <c r="D2" s="79" t="s">
        <v>67</v>
      </c>
      <c r="E2" s="79"/>
      <c r="F2" s="79" t="s">
        <v>68</v>
      </c>
      <c r="G2" s="80"/>
      <c r="H2" s="80" t="s">
        <v>5</v>
      </c>
      <c r="I2" s="81" t="s">
        <v>69</v>
      </c>
      <c r="K2" s="82"/>
      <c r="L2" s="81" t="s">
        <v>70</v>
      </c>
      <c r="N2" s="82"/>
      <c r="O2" s="81" t="s">
        <v>71</v>
      </c>
      <c r="P2" s="80" t="s">
        <v>72</v>
      </c>
    </row>
    <row r="3" spans="1:16" s="75" customFormat="1" ht="15.95">
      <c r="A3" s="77" t="s">
        <v>73</v>
      </c>
      <c r="D3" s="78"/>
      <c r="E3" s="78"/>
      <c r="F3" s="78"/>
    </row>
    <row r="4" spans="1:16" ht="15.95">
      <c r="K4" s="83"/>
      <c r="N4" s="83"/>
    </row>
    <row r="5" spans="1:16" ht="15.95">
      <c r="A5" s="52" t="s">
        <v>74</v>
      </c>
      <c r="B5" s="84"/>
      <c r="C5" s="84"/>
      <c r="I5" s="86"/>
      <c r="K5" s="85" t="b">
        <v>0</v>
      </c>
      <c r="L5" s="86"/>
      <c r="N5" s="85" t="b">
        <v>0</v>
      </c>
    </row>
    <row r="6" spans="1:16" ht="15.95">
      <c r="A6" s="84"/>
      <c r="B6" s="20" t="s">
        <v>75</v>
      </c>
      <c r="C6" s="84"/>
      <c r="D6" s="76">
        <v>3200</v>
      </c>
      <c r="F6" s="76">
        <v>3100</v>
      </c>
      <c r="H6" s="3" t="s">
        <v>76</v>
      </c>
      <c r="I6" s="86">
        <v>45982</v>
      </c>
      <c r="K6" s="85" t="b">
        <v>1</v>
      </c>
      <c r="N6" s="85" t="b">
        <v>0</v>
      </c>
    </row>
    <row r="7" spans="1:16" ht="15.95">
      <c r="A7" s="84"/>
      <c r="B7" s="20" t="s">
        <v>77</v>
      </c>
      <c r="C7" s="84" t="s">
        <v>78</v>
      </c>
      <c r="F7" s="76">
        <f>55.58*10%+55.58</f>
        <v>61.137999999999998</v>
      </c>
      <c r="H7" s="3" t="s">
        <v>6</v>
      </c>
      <c r="I7" s="86">
        <v>45982</v>
      </c>
      <c r="K7" s="85" t="b">
        <v>1</v>
      </c>
      <c r="N7" s="85" t="b">
        <v>0</v>
      </c>
    </row>
    <row r="8" spans="1:16" ht="15.95">
      <c r="A8" s="84"/>
      <c r="B8" s="20" t="s">
        <v>79</v>
      </c>
      <c r="C8" s="84" t="s">
        <v>80</v>
      </c>
      <c r="H8" s="3" t="s">
        <v>81</v>
      </c>
      <c r="I8" s="86"/>
      <c r="K8" s="85" t="b">
        <v>0</v>
      </c>
      <c r="N8" s="85" t="b">
        <v>0</v>
      </c>
    </row>
    <row r="9" spans="1:16" ht="15.95">
      <c r="A9" s="84"/>
      <c r="B9" s="20"/>
      <c r="C9" s="84"/>
      <c r="H9" s="3"/>
      <c r="I9" s="86"/>
      <c r="K9" s="85" t="b">
        <v>0</v>
      </c>
      <c r="N9" s="85" t="b">
        <v>0</v>
      </c>
    </row>
    <row r="10" spans="1:16" ht="15.95">
      <c r="A10" s="84"/>
      <c r="B10" s="20" t="s">
        <v>82</v>
      </c>
      <c r="C10" s="84" t="s">
        <v>83</v>
      </c>
      <c r="D10" s="76">
        <v>300</v>
      </c>
      <c r="F10" s="13">
        <f>90.18*10%+90.18</f>
        <v>99.198000000000008</v>
      </c>
      <c r="H10" s="3" t="s">
        <v>6</v>
      </c>
      <c r="I10" s="86">
        <v>45982</v>
      </c>
      <c r="K10" s="85" t="b">
        <v>1</v>
      </c>
      <c r="N10" s="85" t="b">
        <v>0</v>
      </c>
    </row>
    <row r="11" spans="1:16" ht="15.95">
      <c r="A11" s="84"/>
      <c r="B11" s="20" t="s">
        <v>84</v>
      </c>
      <c r="C11" s="84" t="s">
        <v>85</v>
      </c>
      <c r="D11" s="76">
        <v>350</v>
      </c>
      <c r="F11" s="13">
        <f>325.42*10%+325.42</f>
        <v>357.96199999999999</v>
      </c>
      <c r="H11" s="3" t="s">
        <v>6</v>
      </c>
      <c r="I11" s="86">
        <v>45982</v>
      </c>
      <c r="K11" s="85" t="b">
        <v>1</v>
      </c>
      <c r="N11" s="85" t="b">
        <v>0</v>
      </c>
    </row>
    <row r="12" spans="1:16" ht="15.95">
      <c r="A12" s="84"/>
      <c r="B12" s="20" t="s">
        <v>35</v>
      </c>
      <c r="C12" s="84" t="s">
        <v>86</v>
      </c>
      <c r="D12" s="76">
        <v>300</v>
      </c>
      <c r="F12" s="76">
        <f>379*10%+379</f>
        <v>416.9</v>
      </c>
      <c r="H12" s="74" t="s">
        <v>6</v>
      </c>
      <c r="I12" s="86">
        <v>45982</v>
      </c>
      <c r="K12" s="85" t="b">
        <v>1</v>
      </c>
      <c r="N12" s="85" t="b">
        <v>0</v>
      </c>
    </row>
    <row r="13" spans="1:16" ht="15.95">
      <c r="A13" s="84"/>
      <c r="B13" s="84" t="s">
        <v>87</v>
      </c>
      <c r="C13" s="84" t="s">
        <v>88</v>
      </c>
      <c r="F13" s="76">
        <f>61.83*10%+61.83</f>
        <v>68.013000000000005</v>
      </c>
      <c r="H13" s="74" t="s">
        <v>89</v>
      </c>
      <c r="I13" s="86">
        <v>45982</v>
      </c>
      <c r="K13" s="85" t="b">
        <v>1</v>
      </c>
      <c r="N13" s="85" t="b">
        <v>0</v>
      </c>
    </row>
    <row r="14" spans="1:16" ht="15.95">
      <c r="A14" s="20"/>
      <c r="B14" s="20" t="s">
        <v>90</v>
      </c>
      <c r="C14" s="84" t="s">
        <v>91</v>
      </c>
      <c r="F14" s="13">
        <f>46.36*10%+46.36</f>
        <v>50.996000000000002</v>
      </c>
      <c r="H14" s="3" t="s">
        <v>89</v>
      </c>
      <c r="I14" s="86">
        <v>45982</v>
      </c>
      <c r="K14" s="85" t="b">
        <v>1</v>
      </c>
      <c r="N14" s="85" t="b">
        <v>0</v>
      </c>
    </row>
    <row r="15" spans="1:16" ht="15.95">
      <c r="A15" s="20"/>
      <c r="B15" s="20" t="s">
        <v>92</v>
      </c>
      <c r="C15" s="84" t="s">
        <v>93</v>
      </c>
      <c r="D15" s="76">
        <v>400</v>
      </c>
      <c r="F15" s="13">
        <f>207.21*10%+207.21</f>
        <v>227.93100000000001</v>
      </c>
      <c r="H15" s="3" t="s">
        <v>6</v>
      </c>
      <c r="I15" s="86">
        <v>45982</v>
      </c>
      <c r="K15" s="85" t="b">
        <v>1</v>
      </c>
      <c r="N15" s="85" t="b">
        <v>0</v>
      </c>
    </row>
    <row r="16" spans="1:16" ht="15.95">
      <c r="A16" s="20"/>
      <c r="B16" s="20" t="s">
        <v>94</v>
      </c>
      <c r="C16" s="84" t="s">
        <v>95</v>
      </c>
      <c r="D16" s="76">
        <v>350</v>
      </c>
      <c r="F16" s="13">
        <f>331.38*10%+331.38</f>
        <v>364.51799999999997</v>
      </c>
      <c r="H16" s="3" t="s">
        <v>6</v>
      </c>
      <c r="I16" s="86">
        <v>45982</v>
      </c>
      <c r="K16" s="85" t="b">
        <v>1</v>
      </c>
      <c r="N16" s="85" t="b">
        <v>0</v>
      </c>
    </row>
    <row r="17" spans="1:14" ht="15.95">
      <c r="A17" s="84"/>
      <c r="B17" s="20"/>
      <c r="C17" s="84"/>
      <c r="I17" s="86"/>
      <c r="K17" s="85" t="b">
        <v>0</v>
      </c>
      <c r="N17" s="85" t="b">
        <v>0</v>
      </c>
    </row>
    <row r="18" spans="1:14" ht="15.95">
      <c r="A18" s="20" t="s">
        <v>96</v>
      </c>
      <c r="B18" s="20" t="s">
        <v>97</v>
      </c>
      <c r="C18" s="84"/>
      <c r="H18" s="3" t="s">
        <v>98</v>
      </c>
      <c r="I18" s="86">
        <v>45983</v>
      </c>
      <c r="K18" s="85" t="b">
        <v>1</v>
      </c>
      <c r="N18" s="85" t="b">
        <v>0</v>
      </c>
    </row>
    <row r="19" spans="1:14" ht="15.95">
      <c r="A19" s="84"/>
      <c r="B19" s="3" t="s">
        <v>99</v>
      </c>
      <c r="C19" s="84"/>
      <c r="I19" s="86"/>
      <c r="K19" s="85" t="b">
        <v>0</v>
      </c>
      <c r="N19" s="85" t="b">
        <v>0</v>
      </c>
    </row>
    <row r="20" spans="1:14" ht="15.95">
      <c r="A20" s="84"/>
      <c r="B20" s="20" t="s">
        <v>100</v>
      </c>
      <c r="C20" s="84"/>
      <c r="I20" s="86"/>
      <c r="K20" s="85" t="b">
        <v>0</v>
      </c>
      <c r="N20" s="85" t="b">
        <v>0</v>
      </c>
    </row>
    <row r="21" spans="1:14" ht="15.95">
      <c r="A21" s="84"/>
      <c r="B21" s="20"/>
      <c r="C21" s="84"/>
      <c r="I21" s="86"/>
      <c r="K21" s="85" t="b">
        <v>0</v>
      </c>
      <c r="N21" s="85" t="b">
        <v>0</v>
      </c>
    </row>
    <row r="22" spans="1:14" ht="15.95">
      <c r="A22" s="84"/>
      <c r="B22" s="84"/>
      <c r="C22" s="84"/>
      <c r="K22" s="83"/>
      <c r="N22" s="83"/>
    </row>
    <row r="23" spans="1:14" ht="15.95">
      <c r="A23" s="52" t="s">
        <v>101</v>
      </c>
      <c r="B23" s="20"/>
      <c r="C23" s="84"/>
      <c r="F23" s="13"/>
      <c r="H23" s="13"/>
      <c r="I23" s="86"/>
      <c r="K23" s="85" t="b">
        <v>0</v>
      </c>
      <c r="L23" s="86"/>
      <c r="N23" s="85" t="b">
        <v>0</v>
      </c>
    </row>
    <row r="24" spans="1:14" ht="15.95">
      <c r="A24" s="84"/>
      <c r="B24" s="84" t="s">
        <v>102</v>
      </c>
      <c r="C24" s="84"/>
      <c r="D24" s="76">
        <v>2100</v>
      </c>
      <c r="I24" s="86"/>
      <c r="K24" s="85" t="b">
        <v>0</v>
      </c>
      <c r="L24" s="86"/>
      <c r="N24" s="85" t="b">
        <v>0</v>
      </c>
    </row>
    <row r="25" spans="1:14" ht="15.95">
      <c r="A25" s="84"/>
      <c r="B25" s="84" t="s">
        <v>103</v>
      </c>
      <c r="C25" s="84"/>
      <c r="I25" s="86"/>
      <c r="K25" s="85" t="b">
        <v>0</v>
      </c>
      <c r="L25" s="86"/>
      <c r="N25" s="85" t="b">
        <v>0</v>
      </c>
    </row>
    <row r="26" spans="1:14" ht="15.95">
      <c r="A26" s="84"/>
      <c r="B26" s="84" t="s">
        <v>104</v>
      </c>
      <c r="C26" s="84"/>
      <c r="F26" s="76">
        <v>12.35</v>
      </c>
      <c r="H26" s="74" t="s">
        <v>105</v>
      </c>
      <c r="I26" s="86">
        <v>45983</v>
      </c>
      <c r="K26" s="85" t="b">
        <v>0</v>
      </c>
      <c r="L26" s="86"/>
      <c r="N26" s="85" t="b">
        <v>0</v>
      </c>
    </row>
    <row r="27" spans="1:14" ht="15.95">
      <c r="A27" s="84"/>
      <c r="B27" s="20"/>
      <c r="C27" s="84"/>
      <c r="I27" s="86"/>
      <c r="K27" s="85" t="b">
        <v>0</v>
      </c>
      <c r="L27" s="86"/>
      <c r="N27" s="85" t="b">
        <v>0</v>
      </c>
    </row>
    <row r="28" spans="1:14" s="5" customFormat="1" ht="15.95">
      <c r="A28" s="52"/>
      <c r="B28" s="52" t="s">
        <v>106</v>
      </c>
      <c r="C28" s="52"/>
      <c r="D28" s="11">
        <f>SUM(D5:D27)</f>
        <v>7000</v>
      </c>
      <c r="E28" s="11"/>
      <c r="F28" s="11">
        <f>SUM(F5:F27)</f>
        <v>4759.0060000000003</v>
      </c>
      <c r="I28" s="24"/>
      <c r="K28" s="66" t="b">
        <v>0</v>
      </c>
      <c r="L28" s="24"/>
      <c r="N28" s="66" t="b">
        <v>0</v>
      </c>
    </row>
    <row r="29" spans="1:14" s="5" customFormat="1" ht="15.95">
      <c r="A29" s="52"/>
      <c r="B29" s="52" t="s">
        <v>67</v>
      </c>
      <c r="C29" s="52"/>
      <c r="D29" s="11"/>
      <c r="E29" s="11"/>
      <c r="F29" s="98"/>
      <c r="I29" s="24"/>
      <c r="K29" s="66" t="b">
        <v>0</v>
      </c>
      <c r="L29" s="24"/>
      <c r="N29" s="66" t="b">
        <v>0</v>
      </c>
    </row>
    <row r="30" spans="1:14" s="5" customFormat="1" ht="15.95">
      <c r="A30" s="52"/>
      <c r="B30" s="52" t="s">
        <v>107</v>
      </c>
      <c r="C30" s="52"/>
      <c r="D30" s="11"/>
      <c r="E30" s="11"/>
      <c r="F30" s="11">
        <f>SUM(F28:F29)</f>
        <v>4759.0060000000003</v>
      </c>
      <c r="I30" s="24"/>
      <c r="K30" s="66" t="b">
        <v>0</v>
      </c>
      <c r="L30" s="24"/>
      <c r="N30" s="66" t="b">
        <v>0</v>
      </c>
    </row>
    <row r="31" spans="1:14" ht="15.95">
      <c r="A31" s="84"/>
      <c r="B31" s="84"/>
      <c r="C31" s="84"/>
      <c r="I31" s="86"/>
      <c r="K31" s="85" t="b">
        <v>0</v>
      </c>
      <c r="L31" s="86"/>
      <c r="N31" s="85" t="b">
        <v>0</v>
      </c>
    </row>
    <row r="32" spans="1:14" ht="15.95">
      <c r="A32" s="84"/>
      <c r="B32" s="84"/>
      <c r="C32" s="84"/>
      <c r="I32" s="86"/>
      <c r="K32" s="85" t="b">
        <v>0</v>
      </c>
      <c r="L32" s="86"/>
      <c r="N32" s="85" t="b">
        <v>0</v>
      </c>
    </row>
    <row r="33" spans="1:14" ht="15.95">
      <c r="A33" s="84"/>
      <c r="B33" s="84"/>
      <c r="C33" s="84"/>
      <c r="I33" s="86"/>
      <c r="K33" s="85" t="b">
        <v>0</v>
      </c>
      <c r="L33" s="86"/>
      <c r="N33" s="85" t="b">
        <v>0</v>
      </c>
    </row>
    <row r="34" spans="1:14" ht="15.95">
      <c r="A34" s="20"/>
      <c r="B34" s="20"/>
      <c r="C34" s="84"/>
      <c r="I34" s="86"/>
      <c r="K34" s="85" t="b">
        <v>0</v>
      </c>
      <c r="L34" s="86"/>
      <c r="N34" s="85" t="b">
        <v>0</v>
      </c>
    </row>
    <row r="35" spans="1:14" ht="15.95">
      <c r="A35" s="84"/>
      <c r="B35" s="20"/>
      <c r="C35" s="84"/>
      <c r="I35" s="86"/>
      <c r="K35" s="85" t="b">
        <v>0</v>
      </c>
      <c r="L35" s="86"/>
      <c r="N35" s="85" t="b">
        <v>0</v>
      </c>
    </row>
    <row r="36" spans="1:14" ht="15.95">
      <c r="A36" s="84"/>
      <c r="B36" s="20"/>
      <c r="C36" s="84"/>
      <c r="I36" s="86"/>
      <c r="K36" s="85" t="b">
        <v>0</v>
      </c>
      <c r="L36" s="86"/>
      <c r="N36" s="85" t="b">
        <v>0</v>
      </c>
    </row>
    <row r="37" spans="1:14" ht="15.95">
      <c r="A37" s="84"/>
      <c r="B37" s="84"/>
      <c r="C37" s="84"/>
      <c r="I37" s="86"/>
      <c r="K37" s="85" t="b">
        <v>0</v>
      </c>
      <c r="L37" s="86"/>
      <c r="N37" s="85" t="b">
        <v>0</v>
      </c>
    </row>
    <row r="38" spans="1:14" ht="15.95">
      <c r="A38" s="84"/>
      <c r="B38" s="20"/>
      <c r="C38" s="84"/>
      <c r="I38" s="86"/>
      <c r="K38" s="85" t="b">
        <v>0</v>
      </c>
      <c r="L38" s="86"/>
      <c r="N38" s="85" t="b">
        <v>0</v>
      </c>
    </row>
    <row r="39" spans="1:14" ht="15.95">
      <c r="A39" s="84"/>
      <c r="B39" s="84"/>
      <c r="C39" s="84"/>
      <c r="I39" s="86"/>
      <c r="K39" s="85" t="b">
        <v>0</v>
      </c>
      <c r="L39" s="86"/>
      <c r="N39" s="85" t="b">
        <v>0</v>
      </c>
    </row>
    <row r="40" spans="1:14" ht="15.95">
      <c r="A40" s="84"/>
      <c r="B40" s="84"/>
      <c r="C40" s="84"/>
      <c r="I40" s="86"/>
      <c r="K40" s="85" t="b">
        <v>0</v>
      </c>
      <c r="L40" s="86"/>
      <c r="N40" s="85" t="b">
        <v>0</v>
      </c>
    </row>
    <row r="41" spans="1:14" ht="15.95">
      <c r="A41" s="84"/>
      <c r="B41" s="84"/>
      <c r="C41" s="84"/>
      <c r="I41" s="86"/>
      <c r="K41" s="85" t="b">
        <v>0</v>
      </c>
      <c r="L41" s="86"/>
      <c r="N41" s="85" t="b">
        <v>0</v>
      </c>
    </row>
    <row r="42" spans="1:14" ht="15.95">
      <c r="A42" s="84"/>
      <c r="B42" s="84"/>
      <c r="C42" s="84"/>
      <c r="I42" s="86"/>
      <c r="K42" s="85" t="b">
        <v>0</v>
      </c>
      <c r="L42" s="86"/>
      <c r="N42" s="85" t="b">
        <v>0</v>
      </c>
    </row>
    <row r="43" spans="1:14" ht="15.95">
      <c r="A43" s="84"/>
      <c r="B43" s="84"/>
      <c r="C43" s="84"/>
      <c r="I43" s="86"/>
      <c r="K43" s="85" t="b">
        <v>0</v>
      </c>
      <c r="L43" s="86"/>
      <c r="N43" s="85" t="b">
        <v>0</v>
      </c>
    </row>
    <row r="44" spans="1:14" ht="15.95">
      <c r="K44" s="83"/>
      <c r="N44" s="83"/>
    </row>
    <row r="45" spans="1:14" ht="15.95">
      <c r="A45" s="3"/>
      <c r="B45" s="3"/>
      <c r="K45" s="83"/>
      <c r="N45" s="83"/>
    </row>
    <row r="46" spans="1:14" ht="15.95">
      <c r="K46" s="83"/>
      <c r="N46" s="83"/>
    </row>
    <row r="47" spans="1:14" ht="15.95">
      <c r="K47" s="83"/>
      <c r="N47" s="83"/>
    </row>
    <row r="48" spans="1:14" ht="15.95">
      <c r="K48" s="91"/>
      <c r="N48" s="91"/>
    </row>
    <row r="49" spans="2:14" s="75" customFormat="1" ht="15.95">
      <c r="D49" s="78"/>
      <c r="E49" s="78"/>
      <c r="F49" s="78"/>
      <c r="K49" s="92"/>
      <c r="N49" s="92"/>
    </row>
    <row r="50" spans="2:14" s="75" customFormat="1" ht="15.95">
      <c r="D50" s="78"/>
      <c r="E50" s="78"/>
      <c r="F50" s="78"/>
      <c r="K50" s="91"/>
      <c r="N50" s="91"/>
    </row>
    <row r="51" spans="2:14" s="75" customFormat="1" ht="15.95">
      <c r="B51" s="74"/>
      <c r="C51" s="74"/>
      <c r="D51" s="78"/>
      <c r="E51" s="78"/>
      <c r="F51" s="78"/>
      <c r="K51" s="77"/>
      <c r="N51" s="77"/>
    </row>
    <row r="52" spans="2:14" s="75" customFormat="1" ht="15.95">
      <c r="B52" s="74"/>
      <c r="C52" s="74"/>
      <c r="D52" s="78"/>
      <c r="E52" s="78"/>
      <c r="F52" s="78"/>
      <c r="K52" s="77"/>
      <c r="N52" s="77"/>
    </row>
    <row r="53" spans="2:14" ht="15.95">
      <c r="K53" s="77"/>
      <c r="N53" s="77"/>
    </row>
    <row r="54" spans="2:14" ht="15.95">
      <c r="K54" s="83"/>
      <c r="N54" s="83"/>
    </row>
    <row r="55" spans="2:14" ht="15.95">
      <c r="K55" s="83"/>
      <c r="N55" s="83"/>
    </row>
    <row r="56" spans="2:14" s="5" customFormat="1" ht="15.95">
      <c r="B56" s="5" t="s">
        <v>108</v>
      </c>
      <c r="D56" s="11">
        <f>SUM(D5:D55)</f>
        <v>14000</v>
      </c>
      <c r="E56" s="11"/>
      <c r="F56" s="11"/>
      <c r="K56" s="4"/>
      <c r="N56" s="4"/>
    </row>
    <row r="57" spans="2:14" ht="15.95">
      <c r="K57" s="83"/>
      <c r="N57" s="83"/>
    </row>
    <row r="58" spans="2:14" ht="15.95">
      <c r="K58" s="83"/>
      <c r="N58" s="83"/>
    </row>
    <row r="59" spans="2:14" ht="15.95">
      <c r="K59" s="83"/>
      <c r="N59" s="83"/>
    </row>
    <row r="60" spans="2:14" ht="15.95">
      <c r="K60" s="83"/>
      <c r="N60" s="83"/>
    </row>
    <row r="61" spans="2:14" ht="15.95">
      <c r="K61" s="83"/>
      <c r="N61" s="83"/>
    </row>
    <row r="62" spans="2:14" ht="15.95">
      <c r="K62" s="83"/>
      <c r="N62" s="83"/>
    </row>
    <row r="63" spans="2:14" ht="15.95">
      <c r="K63" s="83"/>
      <c r="N63" s="83"/>
    </row>
    <row r="64" spans="2:14" ht="15.95">
      <c r="K64" s="83"/>
      <c r="N64" s="83"/>
    </row>
    <row r="65" spans="11:14" ht="15.95">
      <c r="K65" s="83"/>
      <c r="N65" s="83"/>
    </row>
    <row r="66" spans="11:14" ht="15.95">
      <c r="K66" s="83"/>
      <c r="N66" s="83"/>
    </row>
  </sheetData>
  <pageMargins left="0.7" right="0.7" top="0.75" bottom="0.75" header="0.3" footer="0.3"/>
  <pageSetup orientation="portrait" horizontalDpi="203" verticalDpi="20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06A2-0BF6-4AA0-B985-F5B38E3B6DC9}">
  <dimension ref="A1:P72"/>
  <sheetViews>
    <sheetView workbookViewId="0">
      <pane ySplit="2" topLeftCell="A3" activePane="bottomLeft" state="frozen"/>
      <selection pane="bottomLeft" activeCell="A41" sqref="A41"/>
    </sheetView>
  </sheetViews>
  <sheetFormatPr defaultColWidth="8.85546875" defaultRowHeight="15.75" customHeight="1"/>
  <cols>
    <col min="1" max="1" width="29" style="3" customWidth="1"/>
    <col min="2" max="2" width="6.28515625" style="3" customWidth="1"/>
    <col min="3" max="3" width="45.28515625" style="3" customWidth="1"/>
    <col min="4" max="4" width="27.140625" style="3" customWidth="1"/>
    <col min="5" max="5" width="14.5703125" style="13" customWidth="1"/>
    <col min="6" max="6" width="2.140625" style="3" customWidth="1"/>
    <col min="7" max="7" width="14.5703125" style="13" customWidth="1"/>
    <col min="8" max="8" width="2.140625" style="3" customWidth="1"/>
    <col min="9" max="9" width="26.5703125" style="3" customWidth="1"/>
    <col min="10" max="10" width="2.42578125" style="3" customWidth="1"/>
    <col min="11" max="11" width="13.7109375" style="3" customWidth="1"/>
    <col min="12" max="12" width="2.7109375" style="3" customWidth="1"/>
    <col min="13" max="13" width="11.42578125" style="3" customWidth="1"/>
    <col min="14" max="14" width="2.140625" style="3" customWidth="1"/>
    <col min="15" max="15" width="2.42578125" style="3" customWidth="1"/>
    <col min="16" max="16" width="21.42578125" style="3" customWidth="1"/>
    <col min="17" max="16384" width="8.85546875" style="3"/>
  </cols>
  <sheetData>
    <row r="1" spans="1:13" s="5" customFormat="1" ht="15.95">
      <c r="A1" s="4" t="s">
        <v>109</v>
      </c>
      <c r="E1" s="11"/>
      <c r="G1" s="11"/>
    </row>
    <row r="2" spans="1:13" s="5" customFormat="1" ht="47.65">
      <c r="A2" s="5" t="s">
        <v>110</v>
      </c>
      <c r="B2" s="4"/>
      <c r="D2" s="5" t="s">
        <v>1</v>
      </c>
      <c r="E2" s="12" t="s">
        <v>111</v>
      </c>
      <c r="G2" s="12" t="s">
        <v>68</v>
      </c>
      <c r="I2" s="6" t="s">
        <v>5</v>
      </c>
      <c r="J2" s="6"/>
      <c r="K2" s="7" t="s">
        <v>69</v>
      </c>
      <c r="M2" s="7" t="s">
        <v>70</v>
      </c>
    </row>
    <row r="3" spans="1:13" s="5" customFormat="1" ht="15.95">
      <c r="A3" s="4" t="s">
        <v>73</v>
      </c>
      <c r="E3" s="11"/>
      <c r="G3" s="11"/>
    </row>
    <row r="4" spans="1:13" ht="15.95">
      <c r="B4" s="1"/>
    </row>
    <row r="5" spans="1:13" ht="15.95">
      <c r="B5" s="8" t="b">
        <v>0</v>
      </c>
      <c r="C5" s="3" t="s">
        <v>112</v>
      </c>
      <c r="E5" s="13">
        <v>250</v>
      </c>
      <c r="L5" s="16" t="b">
        <v>0</v>
      </c>
    </row>
    <row r="6" spans="1:13" ht="15.95">
      <c r="B6" s="1"/>
    </row>
    <row r="7" spans="1:13" ht="15.95">
      <c r="B7" s="1"/>
    </row>
    <row r="8" spans="1:13" ht="15.95">
      <c r="A8" s="3" t="s">
        <v>113</v>
      </c>
      <c r="B8" s="8" t="b">
        <v>0</v>
      </c>
      <c r="C8" s="3" t="s">
        <v>114</v>
      </c>
      <c r="E8" s="13">
        <v>1700</v>
      </c>
      <c r="I8" s="3" t="s">
        <v>48</v>
      </c>
      <c r="L8" s="16" t="b">
        <v>0</v>
      </c>
    </row>
    <row r="9" spans="1:13" ht="15.95">
      <c r="A9" s="3" t="s">
        <v>115</v>
      </c>
      <c r="B9" s="8" t="b">
        <v>0</v>
      </c>
      <c r="C9" s="3" t="s">
        <v>116</v>
      </c>
      <c r="I9" s="3" t="s">
        <v>48</v>
      </c>
      <c r="K9" s="10"/>
      <c r="L9" s="16" t="b">
        <v>0</v>
      </c>
    </row>
    <row r="10" spans="1:13" ht="15.95">
      <c r="A10" s="3" t="s">
        <v>115</v>
      </c>
      <c r="B10" s="8" t="b">
        <v>0</v>
      </c>
      <c r="C10" s="3" t="s">
        <v>117</v>
      </c>
      <c r="D10" s="3" t="s">
        <v>118</v>
      </c>
      <c r="G10" s="13">
        <f>1629.6*10%+1629.6</f>
        <v>1792.56</v>
      </c>
      <c r="I10" s="3" t="s">
        <v>6</v>
      </c>
      <c r="L10" s="16" t="b">
        <v>0</v>
      </c>
    </row>
    <row r="11" spans="1:13" ht="15.95">
      <c r="A11" s="3" t="s">
        <v>115</v>
      </c>
      <c r="B11" s="8" t="b">
        <v>0</v>
      </c>
      <c r="C11" s="3" t="s">
        <v>119</v>
      </c>
      <c r="I11" s="3" t="s">
        <v>48</v>
      </c>
      <c r="L11" s="16" t="b">
        <v>0</v>
      </c>
    </row>
    <row r="12" spans="1:13" ht="15.95">
      <c r="B12" s="8" t="b">
        <v>0</v>
      </c>
      <c r="C12" s="3" t="s">
        <v>120</v>
      </c>
      <c r="D12" s="3" t="s">
        <v>121</v>
      </c>
      <c r="G12" s="13">
        <f>2135.8*10%+2135.8</f>
        <v>2349.38</v>
      </c>
      <c r="I12" s="3" t="s">
        <v>6</v>
      </c>
      <c r="L12" s="16" t="b">
        <v>0</v>
      </c>
    </row>
    <row r="13" spans="1:13" ht="15.95">
      <c r="B13" s="8" t="b">
        <v>0</v>
      </c>
      <c r="L13" s="16" t="b">
        <v>0</v>
      </c>
    </row>
    <row r="14" spans="1:13" ht="15.95">
      <c r="B14" s="8" t="b">
        <v>0</v>
      </c>
      <c r="K14" s="10"/>
      <c r="L14" s="16" t="b">
        <v>0</v>
      </c>
    </row>
    <row r="15" spans="1:13" ht="15.95">
      <c r="B15" s="1"/>
      <c r="J15" s="5"/>
    </row>
    <row r="16" spans="1:13" ht="15.95">
      <c r="A16" s="3" t="s">
        <v>122</v>
      </c>
      <c r="B16" s="1"/>
      <c r="C16" s="3" t="s">
        <v>123</v>
      </c>
      <c r="E16" s="13">
        <v>2000</v>
      </c>
      <c r="G16" s="23"/>
      <c r="K16" s="10"/>
      <c r="L16" s="16" t="b">
        <v>0</v>
      </c>
    </row>
    <row r="17" spans="1:12" ht="15.95">
      <c r="B17" s="8" t="b">
        <v>0</v>
      </c>
      <c r="C17" s="3" t="s">
        <v>124</v>
      </c>
      <c r="D17" s="3" t="s">
        <v>125</v>
      </c>
      <c r="G17" s="23">
        <f>353.46*10%+353.46</f>
        <v>388.80599999999998</v>
      </c>
      <c r="I17" s="3" t="s">
        <v>89</v>
      </c>
      <c r="K17" s="10"/>
      <c r="L17" s="16" t="b">
        <v>0</v>
      </c>
    </row>
    <row r="18" spans="1:12" ht="15.95">
      <c r="A18" s="3" t="s">
        <v>122</v>
      </c>
      <c r="B18" s="8" t="b">
        <v>0</v>
      </c>
      <c r="C18" s="3" t="s">
        <v>126</v>
      </c>
      <c r="D18" s="3" t="s">
        <v>127</v>
      </c>
      <c r="G18" s="23">
        <f>180.85*10%+180.85</f>
        <v>198.935</v>
      </c>
      <c r="I18" s="3" t="s">
        <v>89</v>
      </c>
      <c r="K18" s="10"/>
      <c r="L18" s="16" t="b">
        <v>0</v>
      </c>
    </row>
    <row r="19" spans="1:12" ht="15.95">
      <c r="B19" s="8" t="b">
        <v>0</v>
      </c>
      <c r="C19" s="3" t="s">
        <v>28</v>
      </c>
      <c r="D19" s="3" t="s">
        <v>128</v>
      </c>
      <c r="G19" s="13">
        <f>157.75*10%+157.75</f>
        <v>173.52500000000001</v>
      </c>
      <c r="I19" s="3" t="s">
        <v>89</v>
      </c>
      <c r="K19" s="10"/>
      <c r="L19" s="16" t="b">
        <v>0</v>
      </c>
    </row>
    <row r="20" spans="1:12" ht="15.95">
      <c r="B20" s="8" t="b">
        <v>0</v>
      </c>
      <c r="C20" s="3" t="s">
        <v>27</v>
      </c>
      <c r="D20" s="3" t="s">
        <v>129</v>
      </c>
      <c r="G20" s="13">
        <f>33.27*10%+33.27</f>
        <v>36.597000000000001</v>
      </c>
      <c r="I20" s="3" t="s">
        <v>89</v>
      </c>
      <c r="K20" s="10"/>
      <c r="L20" s="16" t="b">
        <v>0</v>
      </c>
    </row>
    <row r="21" spans="1:12" ht="15.95">
      <c r="B21" s="8" t="b">
        <v>0</v>
      </c>
      <c r="C21" s="3" t="s">
        <v>130</v>
      </c>
      <c r="D21" s="3" t="s">
        <v>131</v>
      </c>
      <c r="G21" s="13">
        <f>17.69*10%+17.69</f>
        <v>19.459000000000003</v>
      </c>
      <c r="I21" s="3" t="s">
        <v>89</v>
      </c>
      <c r="K21" s="10"/>
      <c r="L21" s="16" t="b">
        <v>0</v>
      </c>
    </row>
    <row r="22" spans="1:12" ht="15.95">
      <c r="B22" s="8" t="b">
        <v>0</v>
      </c>
      <c r="C22" s="3" t="s">
        <v>132</v>
      </c>
      <c r="D22" s="3" t="s">
        <v>133</v>
      </c>
      <c r="G22" s="13">
        <f>486.82*10%+486.82</f>
        <v>535.50199999999995</v>
      </c>
      <c r="I22" s="3" t="s">
        <v>89</v>
      </c>
      <c r="K22" s="10"/>
      <c r="L22" s="16" t="b">
        <v>0</v>
      </c>
    </row>
    <row r="23" spans="1:12" ht="15.95">
      <c r="B23" s="8" t="b">
        <v>0</v>
      </c>
      <c r="C23" s="3" t="s">
        <v>134</v>
      </c>
      <c r="D23" s="3" t="s">
        <v>135</v>
      </c>
      <c r="G23" s="13">
        <f>65.52*10%+65.52</f>
        <v>72.072000000000003</v>
      </c>
      <c r="I23" s="3" t="s">
        <v>89</v>
      </c>
      <c r="K23" s="10"/>
      <c r="L23" s="16" t="b">
        <v>0</v>
      </c>
    </row>
    <row r="24" spans="1:12" ht="15.95">
      <c r="B24" s="8" t="b">
        <v>0</v>
      </c>
      <c r="C24" s="3" t="s">
        <v>32</v>
      </c>
      <c r="D24" s="3" t="s">
        <v>136</v>
      </c>
      <c r="G24" s="13">
        <f>146.86*10%+146.86</f>
        <v>161.54600000000002</v>
      </c>
      <c r="I24" s="3" t="s">
        <v>89</v>
      </c>
      <c r="K24" s="10"/>
      <c r="L24" s="16" t="b">
        <v>0</v>
      </c>
    </row>
    <row r="25" spans="1:12" ht="15.95">
      <c r="B25" s="8" t="b">
        <v>0</v>
      </c>
      <c r="C25" s="3" t="s">
        <v>137</v>
      </c>
      <c r="I25" s="3" t="s">
        <v>138</v>
      </c>
      <c r="K25" s="10"/>
      <c r="L25" s="16" t="b">
        <v>0</v>
      </c>
    </row>
    <row r="26" spans="1:12" ht="15.95">
      <c r="B26" s="8" t="b">
        <v>0</v>
      </c>
      <c r="C26" s="3" t="s">
        <v>139</v>
      </c>
      <c r="D26" s="3" t="s">
        <v>140</v>
      </c>
      <c r="G26" s="13">
        <f>1302.33*10%+1302.33</f>
        <v>1432.5629999999999</v>
      </c>
      <c r="I26" s="3" t="s">
        <v>89</v>
      </c>
      <c r="K26" s="10"/>
      <c r="L26" s="16" t="b">
        <v>0</v>
      </c>
    </row>
    <row r="27" spans="1:12" ht="15.95">
      <c r="B27" s="8" t="b">
        <v>0</v>
      </c>
      <c r="C27" s="3" t="s">
        <v>141</v>
      </c>
      <c r="D27" s="3" t="s">
        <v>142</v>
      </c>
      <c r="G27" s="13">
        <f>820.13*10%+820.13</f>
        <v>902.14300000000003</v>
      </c>
      <c r="I27" s="3" t="s">
        <v>89</v>
      </c>
      <c r="K27" s="10"/>
      <c r="L27" s="16" t="b">
        <v>0</v>
      </c>
    </row>
    <row r="28" spans="1:12" ht="15.95">
      <c r="B28" s="8" t="b">
        <v>0</v>
      </c>
      <c r="C28" s="3" t="s">
        <v>143</v>
      </c>
      <c r="D28" s="3" t="s">
        <v>144</v>
      </c>
      <c r="G28" s="13">
        <f>217.8*10%+217.8</f>
        <v>239.58</v>
      </c>
      <c r="I28" s="3" t="s">
        <v>89</v>
      </c>
      <c r="K28" s="10"/>
      <c r="L28" s="16" t="b">
        <v>0</v>
      </c>
    </row>
    <row r="29" spans="1:12" ht="15.95">
      <c r="B29" s="8" t="b">
        <v>0</v>
      </c>
      <c r="C29" s="3" t="s">
        <v>145</v>
      </c>
      <c r="G29" s="13">
        <v>2592</v>
      </c>
      <c r="I29" s="3" t="s">
        <v>146</v>
      </c>
      <c r="K29" s="10">
        <v>46002</v>
      </c>
      <c r="L29" s="16" t="b">
        <v>0</v>
      </c>
    </row>
    <row r="30" spans="1:12" ht="15.95">
      <c r="B30" s="8" t="b">
        <v>0</v>
      </c>
      <c r="C30" s="3" t="s">
        <v>147</v>
      </c>
      <c r="D30" s="3" t="s">
        <v>148</v>
      </c>
      <c r="G30" s="13">
        <f>935.78*10%+935.78</f>
        <v>1029.3579999999999</v>
      </c>
      <c r="I30" s="3" t="s">
        <v>89</v>
      </c>
      <c r="K30" s="10"/>
      <c r="L30" s="16" t="b">
        <v>0</v>
      </c>
    </row>
    <row r="31" spans="1:12" ht="15.95">
      <c r="B31" s="8" t="b">
        <v>0</v>
      </c>
      <c r="C31" s="3" t="s">
        <v>149</v>
      </c>
      <c r="D31" s="3" t="s">
        <v>150</v>
      </c>
      <c r="G31" s="13">
        <f>217.8*10%+217.8</f>
        <v>239.58</v>
      </c>
      <c r="I31" s="3" t="s">
        <v>89</v>
      </c>
      <c r="K31" s="10"/>
      <c r="L31" s="16" t="b">
        <v>0</v>
      </c>
    </row>
    <row r="32" spans="1:12" ht="15.95">
      <c r="B32" s="8" t="b">
        <v>0</v>
      </c>
      <c r="C32" s="3" t="s">
        <v>151</v>
      </c>
      <c r="D32" s="3" t="s">
        <v>152</v>
      </c>
      <c r="G32" s="13">
        <f>1190.64*10%+1190.64</f>
        <v>1309.7040000000002</v>
      </c>
      <c r="I32" s="3" t="s">
        <v>89</v>
      </c>
      <c r="K32" s="10"/>
      <c r="L32" s="16" t="b">
        <v>0</v>
      </c>
    </row>
    <row r="33" spans="1:12" ht="15.95">
      <c r="B33" s="8" t="b">
        <v>0</v>
      </c>
      <c r="C33" s="3" t="s">
        <v>153</v>
      </c>
      <c r="D33" s="58">
        <v>9792</v>
      </c>
      <c r="G33" s="13">
        <f>302.77*10%+302.77</f>
        <v>333.04699999999997</v>
      </c>
      <c r="I33" s="3" t="s">
        <v>89</v>
      </c>
      <c r="L33" s="16" t="b">
        <v>0</v>
      </c>
    </row>
    <row r="34" spans="1:12" ht="15.95">
      <c r="B34" s="8" t="b">
        <v>0</v>
      </c>
      <c r="L34" s="16" t="b">
        <v>0</v>
      </c>
    </row>
    <row r="35" spans="1:12" ht="15.95">
      <c r="B35" s="1"/>
    </row>
    <row r="36" spans="1:12" ht="15.95">
      <c r="A36" s="3" t="s">
        <v>154</v>
      </c>
      <c r="B36" s="8" t="b">
        <v>0</v>
      </c>
      <c r="C36" s="19" t="s">
        <v>155</v>
      </c>
      <c r="E36" s="13" t="s">
        <v>156</v>
      </c>
      <c r="I36" s="3" t="s">
        <v>138</v>
      </c>
      <c r="K36" s="10"/>
      <c r="L36" s="16" t="b">
        <v>0</v>
      </c>
    </row>
    <row r="37" spans="1:12" ht="15.95">
      <c r="A37" s="3" t="s">
        <v>154</v>
      </c>
      <c r="B37" s="8" t="b">
        <v>0</v>
      </c>
      <c r="C37" s="3" t="s">
        <v>157</v>
      </c>
      <c r="E37" s="13" t="s">
        <v>156</v>
      </c>
      <c r="I37" s="3" t="s">
        <v>138</v>
      </c>
      <c r="K37" s="10"/>
      <c r="L37" s="16" t="b">
        <v>0</v>
      </c>
    </row>
    <row r="38" spans="1:12" ht="15.95">
      <c r="A38" s="3" t="s">
        <v>154</v>
      </c>
      <c r="B38" s="8" t="b">
        <v>0</v>
      </c>
      <c r="C38" s="3" t="s">
        <v>158</v>
      </c>
      <c r="E38" s="13" t="s">
        <v>156</v>
      </c>
      <c r="I38" s="3" t="s">
        <v>138</v>
      </c>
      <c r="K38" s="10"/>
      <c r="L38" s="16" t="b">
        <v>0</v>
      </c>
    </row>
    <row r="39" spans="1:12" ht="15.95">
      <c r="B39" s="8" t="b">
        <v>0</v>
      </c>
      <c r="C39" s="3" t="s">
        <v>159</v>
      </c>
      <c r="G39" s="36"/>
      <c r="I39" s="3" t="s">
        <v>138</v>
      </c>
      <c r="K39" s="10"/>
      <c r="L39" s="16" t="b">
        <v>0</v>
      </c>
    </row>
    <row r="40" spans="1:12" ht="15.95">
      <c r="B40" s="8" t="b">
        <v>0</v>
      </c>
      <c r="C40" s="15" t="s">
        <v>160</v>
      </c>
      <c r="E40" s="13">
        <v>3000</v>
      </c>
      <c r="K40" s="10"/>
      <c r="L40" s="16" t="b">
        <v>0</v>
      </c>
    </row>
    <row r="41" spans="1:12" ht="15.95">
      <c r="B41" s="8" t="b">
        <v>0</v>
      </c>
      <c r="C41" s="3" t="s">
        <v>161</v>
      </c>
      <c r="E41" s="13">
        <v>1500</v>
      </c>
      <c r="K41" s="10"/>
      <c r="L41" s="16" t="b">
        <v>0</v>
      </c>
    </row>
    <row r="42" spans="1:12" ht="15.95">
      <c r="B42" s="8" t="b">
        <v>0</v>
      </c>
      <c r="C42" s="15" t="s">
        <v>162</v>
      </c>
      <c r="E42" s="13">
        <v>3200</v>
      </c>
      <c r="K42" s="10"/>
      <c r="L42" s="16" t="b">
        <v>0</v>
      </c>
    </row>
    <row r="43" spans="1:12" ht="15.95">
      <c r="B43" s="8" t="b">
        <v>0</v>
      </c>
      <c r="C43" s="3" t="s">
        <v>163</v>
      </c>
      <c r="I43" s="3" t="s">
        <v>164</v>
      </c>
      <c r="K43" s="10"/>
      <c r="L43" s="16" t="b">
        <v>0</v>
      </c>
    </row>
    <row r="44" spans="1:12" ht="15.95">
      <c r="B44" s="8" t="b">
        <v>0</v>
      </c>
      <c r="C44" s="3" t="s">
        <v>165</v>
      </c>
      <c r="I44" s="3" t="s">
        <v>146</v>
      </c>
      <c r="K44" s="10"/>
      <c r="L44" s="16" t="b">
        <v>0</v>
      </c>
    </row>
    <row r="45" spans="1:12" ht="15.95">
      <c r="B45" s="8" t="b">
        <v>0</v>
      </c>
      <c r="C45" s="3" t="s">
        <v>166</v>
      </c>
      <c r="I45" s="3" t="s">
        <v>167</v>
      </c>
      <c r="K45" s="10"/>
      <c r="L45" s="16" t="b">
        <v>0</v>
      </c>
    </row>
    <row r="46" spans="1:12" ht="15.95">
      <c r="B46" s="8" t="b">
        <v>0</v>
      </c>
      <c r="C46" s="3" t="s">
        <v>168</v>
      </c>
      <c r="I46" s="3" t="s">
        <v>167</v>
      </c>
      <c r="K46" s="10"/>
      <c r="L46" s="16" t="b">
        <v>0</v>
      </c>
    </row>
    <row r="47" spans="1:12" ht="15.95">
      <c r="B47" s="8" t="b">
        <v>0</v>
      </c>
      <c r="L47" s="16" t="b">
        <v>0</v>
      </c>
    </row>
    <row r="48" spans="1:12" ht="15.95">
      <c r="B48" s="1"/>
    </row>
    <row r="49" spans="1:16" ht="15.95">
      <c r="A49" s="3" t="s">
        <v>169</v>
      </c>
      <c r="B49" s="8" t="b">
        <v>0</v>
      </c>
      <c r="C49" s="3" t="s">
        <v>170</v>
      </c>
      <c r="E49" s="13">
        <v>1000</v>
      </c>
      <c r="L49" s="16" t="b">
        <v>0</v>
      </c>
    </row>
    <row r="50" spans="1:16" ht="15.95">
      <c r="B50" s="8" t="b">
        <v>0</v>
      </c>
      <c r="C50" s="3" t="s">
        <v>171</v>
      </c>
      <c r="E50" s="13">
        <v>10000</v>
      </c>
      <c r="I50" s="3" t="s">
        <v>172</v>
      </c>
      <c r="K50" s="10"/>
      <c r="L50" s="16" t="b">
        <v>0</v>
      </c>
    </row>
    <row r="51" spans="1:16" ht="15.95">
      <c r="B51" s="8" t="b">
        <v>0</v>
      </c>
      <c r="C51" s="3" t="s">
        <v>173</v>
      </c>
      <c r="K51" s="10"/>
      <c r="L51" s="16" t="b">
        <v>0</v>
      </c>
    </row>
    <row r="52" spans="1:16" ht="15.95">
      <c r="B52" s="8" t="b">
        <v>0</v>
      </c>
      <c r="C52" s="3" t="s">
        <v>174</v>
      </c>
      <c r="K52" s="10"/>
      <c r="L52" s="16" t="b">
        <v>0</v>
      </c>
    </row>
    <row r="53" spans="1:16" ht="15.95">
      <c r="B53" s="8" t="b">
        <v>0</v>
      </c>
      <c r="C53" s="3" t="s">
        <v>175</v>
      </c>
      <c r="D53" s="3" t="s">
        <v>176</v>
      </c>
      <c r="G53" s="13">
        <f>132.68*10%+132.68</f>
        <v>145.94800000000001</v>
      </c>
      <c r="I53" s="3" t="s">
        <v>6</v>
      </c>
      <c r="K53" s="10"/>
      <c r="L53" s="16" t="b">
        <v>0</v>
      </c>
      <c r="M53" s="10"/>
      <c r="P53" s="3" t="s">
        <v>177</v>
      </c>
    </row>
    <row r="54" spans="1:16" ht="15.95">
      <c r="B54" s="8" t="b">
        <v>0</v>
      </c>
      <c r="C54" s="3" t="s">
        <v>178</v>
      </c>
      <c r="D54" s="3" t="s">
        <v>179</v>
      </c>
      <c r="G54" s="13">
        <f>88.14*10%+88.14</f>
        <v>96.954000000000008</v>
      </c>
      <c r="K54" s="10"/>
      <c r="L54" s="16" t="b">
        <v>0</v>
      </c>
      <c r="M54" s="10"/>
      <c r="P54" s="3" t="s">
        <v>180</v>
      </c>
    </row>
    <row r="55" spans="1:16" ht="15.95">
      <c r="B55" s="8" t="b">
        <v>0</v>
      </c>
      <c r="C55" s="3" t="s">
        <v>181</v>
      </c>
      <c r="D55" s="3" t="s">
        <v>182</v>
      </c>
      <c r="G55" s="13">
        <f>87*10%+87</f>
        <v>95.7</v>
      </c>
      <c r="K55" s="10"/>
      <c r="L55" s="16" t="b">
        <v>0</v>
      </c>
      <c r="M55" s="10"/>
      <c r="P55" s="3" t="s">
        <v>183</v>
      </c>
    </row>
    <row r="56" spans="1:16" ht="15.95">
      <c r="B56" s="8" t="b">
        <v>0</v>
      </c>
      <c r="C56" s="3" t="s">
        <v>184</v>
      </c>
      <c r="D56" s="3" t="s">
        <v>185</v>
      </c>
      <c r="G56" s="13">
        <f>51.89*10%+51.89</f>
        <v>57.079000000000001</v>
      </c>
      <c r="K56" s="10"/>
      <c r="L56" s="16" t="b">
        <v>0</v>
      </c>
      <c r="M56" s="10"/>
    </row>
    <row r="57" spans="1:16" ht="15.95">
      <c r="B57" s="1"/>
    </row>
    <row r="58" spans="1:16" ht="15.95">
      <c r="A58" s="3" t="s">
        <v>186</v>
      </c>
      <c r="B58" s="8" t="b">
        <v>0</v>
      </c>
      <c r="C58" s="3" t="s">
        <v>187</v>
      </c>
      <c r="E58" s="13">
        <v>2800</v>
      </c>
      <c r="G58" s="36"/>
      <c r="L58" s="16" t="b">
        <v>0</v>
      </c>
    </row>
    <row r="59" spans="1:16" ht="15.95">
      <c r="B59" s="1"/>
    </row>
    <row r="60" spans="1:16" ht="15.95">
      <c r="B60" s="1"/>
      <c r="L60" s="16" t="b">
        <v>0</v>
      </c>
    </row>
    <row r="61" spans="1:16" ht="15.95">
      <c r="B61" s="8" t="b">
        <v>0</v>
      </c>
      <c r="L61" s="16" t="b">
        <v>0</v>
      </c>
    </row>
    <row r="62" spans="1:16" ht="15.95">
      <c r="B62" s="8" t="b">
        <v>0</v>
      </c>
      <c r="L62" s="16" t="b">
        <v>0</v>
      </c>
    </row>
    <row r="63" spans="1:16" ht="15.95">
      <c r="B63" s="8" t="b">
        <v>0</v>
      </c>
      <c r="L63" s="16" t="b">
        <v>0</v>
      </c>
    </row>
    <row r="64" spans="1:16" ht="15.95">
      <c r="B64" s="8" t="b">
        <v>0</v>
      </c>
      <c r="L64" s="16" t="b">
        <v>0</v>
      </c>
    </row>
    <row r="65" spans="1:11" ht="15.95">
      <c r="B65" s="2"/>
      <c r="E65" s="11">
        <f>SUM(E8:E62)</f>
        <v>25200</v>
      </c>
      <c r="G65" s="11">
        <f>SUM(G8:G62)</f>
        <v>14202.038</v>
      </c>
    </row>
    <row r="66" spans="1:11" ht="15.95">
      <c r="B66" s="2"/>
      <c r="C66" s="69" t="s">
        <v>67</v>
      </c>
      <c r="E66" s="11"/>
      <c r="G66" s="68">
        <f>E65</f>
        <v>25200</v>
      </c>
    </row>
    <row r="67" spans="1:11" ht="15.95">
      <c r="B67" s="2"/>
      <c r="E67" s="11"/>
      <c r="G67" s="11">
        <f>G65-G66</f>
        <v>-10997.962</v>
      </c>
    </row>
    <row r="68" spans="1:11" ht="15.95">
      <c r="B68" s="2"/>
      <c r="E68" s="11"/>
      <c r="G68" s="11"/>
    </row>
    <row r="69" spans="1:11" ht="15.95">
      <c r="B69" s="2" t="s">
        <v>188</v>
      </c>
    </row>
    <row r="70" spans="1:11" ht="15.95">
      <c r="B70" s="2"/>
      <c r="C70" s="3" t="s">
        <v>189</v>
      </c>
    </row>
    <row r="71" spans="1:11" s="5" customFormat="1" ht="15.95">
      <c r="A71" s="4"/>
      <c r="C71" s="3"/>
      <c r="E71" s="11"/>
      <c r="G71" s="13"/>
      <c r="I71" s="3"/>
      <c r="J71" s="3"/>
      <c r="K71" s="3"/>
    </row>
    <row r="72" spans="1:11" ht="15.95">
      <c r="G72" s="43"/>
    </row>
  </sheetData>
  <pageMargins left="0.7" right="0.7" top="0.75" bottom="0.75" header="0.3" footer="0.3"/>
  <pageSetup orientation="portrait" horizontalDpi="203" verticalDpi="20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E3E7-342A-4D46-B540-66D61AC9BDFA}">
  <dimension ref="A1:U113"/>
  <sheetViews>
    <sheetView topLeftCell="AG1" workbookViewId="0">
      <pane ySplit="2" topLeftCell="A12" activePane="bottomLeft" state="frozen"/>
      <selection pane="bottomLeft" activeCell="C18" sqref="C18"/>
      <selection activeCell="C1" sqref="C1"/>
    </sheetView>
  </sheetViews>
  <sheetFormatPr defaultColWidth="8.85546875" defaultRowHeight="15.95"/>
  <cols>
    <col min="1" max="1" width="12.7109375" style="74" customWidth="1"/>
    <col min="2" max="2" width="9.140625" style="74" bestFit="1" customWidth="1"/>
    <col min="3" max="3" width="32.140625" style="74" customWidth="1"/>
    <col min="4" max="4" width="2.7109375" style="74" customWidth="1"/>
    <col min="5" max="5" width="15" style="76" customWidth="1"/>
    <col min="6" max="6" width="1.85546875" style="76" customWidth="1"/>
    <col min="7" max="7" width="20" style="76" customWidth="1"/>
    <col min="8" max="8" width="2.7109375" style="74" customWidth="1"/>
    <col min="9" max="9" width="26.5703125" style="74" customWidth="1"/>
    <col min="10" max="10" width="2.42578125" style="74" customWidth="1"/>
    <col min="11" max="11" width="13.7109375" style="74" customWidth="1"/>
    <col min="12" max="12" width="2.7109375" style="74" customWidth="1"/>
    <col min="13" max="13" width="6.28515625" style="74" customWidth="1"/>
    <col min="14" max="14" width="13.7109375" style="74" customWidth="1"/>
    <col min="15" max="15" width="2.7109375" style="74" customWidth="1"/>
    <col min="16" max="16" width="9.140625" style="74" bestFit="1" customWidth="1"/>
    <col min="17" max="17" width="11.42578125" style="74" customWidth="1"/>
    <col min="18" max="18" width="2.140625" style="74" customWidth="1"/>
    <col min="19" max="19" width="9.140625" style="74" bestFit="1" customWidth="1"/>
    <col min="20" max="20" width="11.42578125" style="74" customWidth="1"/>
    <col min="21" max="21" width="32.5703125" style="74" customWidth="1"/>
    <col min="22" max="22" width="21.42578125" style="74" customWidth="1"/>
    <col min="23" max="16384" width="8.85546875" style="74"/>
  </cols>
  <sheetData>
    <row r="1" spans="1:21" s="75" customFormat="1">
      <c r="A1" s="77" t="s">
        <v>190</v>
      </c>
      <c r="E1" s="78"/>
      <c r="F1" s="78"/>
      <c r="G1" s="78"/>
      <c r="I1" s="74" t="s">
        <v>191</v>
      </c>
      <c r="M1" s="77"/>
      <c r="P1" s="77"/>
      <c r="S1" s="77"/>
    </row>
    <row r="2" spans="1:21" s="75" customFormat="1" ht="47.65">
      <c r="B2" s="77"/>
      <c r="C2" s="75" t="s">
        <v>192</v>
      </c>
      <c r="E2" s="79" t="s">
        <v>67</v>
      </c>
      <c r="F2" s="79"/>
      <c r="G2" s="79" t="s">
        <v>68</v>
      </c>
      <c r="H2" s="80"/>
      <c r="I2" s="80" t="s">
        <v>5</v>
      </c>
      <c r="J2" s="80"/>
      <c r="K2" s="81" t="s">
        <v>193</v>
      </c>
      <c r="M2" s="82"/>
      <c r="N2" s="81" t="s">
        <v>69</v>
      </c>
      <c r="P2" s="82"/>
      <c r="Q2" s="81" t="s">
        <v>70</v>
      </c>
      <c r="S2" s="82"/>
      <c r="T2" s="81" t="s">
        <v>71</v>
      </c>
      <c r="U2" s="80" t="s">
        <v>72</v>
      </c>
    </row>
    <row r="3" spans="1:21" s="75" customFormat="1">
      <c r="A3" s="77" t="s">
        <v>73</v>
      </c>
      <c r="E3" s="78"/>
      <c r="F3" s="78"/>
      <c r="G3" s="78"/>
    </row>
    <row r="4" spans="1:21">
      <c r="B4" s="83"/>
      <c r="M4" s="83"/>
      <c r="P4" s="83"/>
      <c r="S4" s="83"/>
    </row>
    <row r="5" spans="1:21">
      <c r="A5" s="84"/>
      <c r="B5" s="84"/>
      <c r="C5" s="84"/>
      <c r="D5" s="84"/>
      <c r="M5" s="83"/>
      <c r="P5" s="83"/>
      <c r="S5" s="83"/>
    </row>
    <row r="6" spans="1:21">
      <c r="A6" s="84"/>
      <c r="B6" s="84"/>
      <c r="C6" s="84"/>
      <c r="D6" s="84"/>
      <c r="M6" s="83"/>
      <c r="P6" s="83"/>
      <c r="S6" s="83"/>
    </row>
    <row r="7" spans="1:21">
      <c r="A7" s="52"/>
      <c r="B7" s="84"/>
      <c r="C7" s="84"/>
      <c r="D7" s="84"/>
      <c r="M7" s="83"/>
      <c r="P7" s="83"/>
      <c r="S7" s="83"/>
    </row>
    <row r="8" spans="1:21">
      <c r="A8" s="84"/>
      <c r="B8" s="84"/>
      <c r="C8" s="84"/>
      <c r="D8" s="84"/>
      <c r="M8" s="83"/>
      <c r="P8" s="83"/>
      <c r="S8" s="83"/>
    </row>
    <row r="9" spans="1:21">
      <c r="A9" s="84"/>
      <c r="B9" s="84"/>
      <c r="C9" s="84"/>
      <c r="D9" s="84"/>
      <c r="M9" s="83"/>
      <c r="P9" s="83"/>
      <c r="S9" s="83"/>
    </row>
    <row r="10" spans="1:21">
      <c r="A10" s="84" t="s">
        <v>194</v>
      </c>
      <c r="B10" s="84"/>
      <c r="C10" s="84" t="s">
        <v>195</v>
      </c>
      <c r="D10" s="84"/>
      <c r="M10" s="85" t="b">
        <v>0</v>
      </c>
      <c r="N10" s="86"/>
      <c r="P10" s="85" t="b">
        <v>0</v>
      </c>
      <c r="S10" s="85" t="b">
        <v>0</v>
      </c>
    </row>
    <row r="11" spans="1:21">
      <c r="A11" s="52"/>
      <c r="B11" s="84"/>
      <c r="C11" s="84" t="s">
        <v>196</v>
      </c>
      <c r="D11" s="84"/>
      <c r="E11" s="76">
        <v>17100</v>
      </c>
      <c r="G11" s="76">
        <v>4338.3599999999997</v>
      </c>
      <c r="I11" s="74" t="s">
        <v>197</v>
      </c>
      <c r="K11" s="86"/>
      <c r="M11" s="85" t="b">
        <v>1</v>
      </c>
      <c r="N11" s="86">
        <v>45968</v>
      </c>
      <c r="P11" s="85" t="b">
        <v>0</v>
      </c>
      <c r="Q11" s="86"/>
      <c r="S11" s="85" t="b">
        <v>0</v>
      </c>
    </row>
    <row r="12" spans="1:21">
      <c r="A12" s="84"/>
      <c r="B12" s="84"/>
      <c r="C12" s="84" t="s">
        <v>198</v>
      </c>
      <c r="D12" s="84"/>
      <c r="G12" s="76">
        <v>10000</v>
      </c>
      <c r="I12" s="74" t="s">
        <v>15</v>
      </c>
      <c r="K12" s="86"/>
      <c r="M12" s="85" t="b">
        <v>1</v>
      </c>
      <c r="N12" s="86">
        <v>45969</v>
      </c>
      <c r="P12" s="85" t="b">
        <v>0</v>
      </c>
      <c r="Q12" s="86"/>
      <c r="S12" s="85" t="b">
        <v>0</v>
      </c>
    </row>
    <row r="13" spans="1:21">
      <c r="A13" s="84"/>
      <c r="B13" s="84"/>
      <c r="C13" s="84" t="s">
        <v>199</v>
      </c>
      <c r="D13" s="84"/>
      <c r="K13" s="86"/>
      <c r="M13" s="85" t="b">
        <v>0</v>
      </c>
      <c r="N13" s="86"/>
      <c r="P13" s="85" t="b">
        <v>0</v>
      </c>
      <c r="Q13" s="86"/>
      <c r="S13" s="85" t="b">
        <v>0</v>
      </c>
    </row>
    <row r="14" spans="1:21">
      <c r="A14" s="84"/>
      <c r="B14" s="84"/>
      <c r="C14" s="84" t="s">
        <v>200</v>
      </c>
      <c r="D14" s="84"/>
      <c r="K14" s="86"/>
      <c r="M14" s="85" t="b">
        <v>0</v>
      </c>
      <c r="N14" s="86"/>
      <c r="P14" s="85" t="b">
        <v>0</v>
      </c>
      <c r="Q14" s="86"/>
      <c r="S14" s="85" t="b">
        <v>0</v>
      </c>
    </row>
    <row r="15" spans="1:21">
      <c r="A15" s="84"/>
      <c r="B15" s="84"/>
      <c r="C15" s="84" t="s">
        <v>201</v>
      </c>
      <c r="D15" s="84"/>
      <c r="E15" s="76">
        <v>190</v>
      </c>
      <c r="G15" s="76">
        <v>177.44</v>
      </c>
      <c r="I15" s="74" t="s">
        <v>6</v>
      </c>
      <c r="K15" s="86"/>
      <c r="M15" s="85" t="b">
        <v>1</v>
      </c>
      <c r="N15" s="86">
        <v>45978</v>
      </c>
      <c r="P15" s="85" t="b">
        <v>0</v>
      </c>
      <c r="Q15" s="86"/>
      <c r="S15" s="85" t="b">
        <v>0</v>
      </c>
    </row>
    <row r="16" spans="1:21">
      <c r="A16" s="84"/>
      <c r="B16" s="84"/>
      <c r="C16" s="84" t="s">
        <v>202</v>
      </c>
      <c r="D16" s="84"/>
      <c r="K16" s="86"/>
      <c r="M16" s="85" t="b">
        <v>0</v>
      </c>
      <c r="N16" s="86"/>
      <c r="P16" s="85" t="b">
        <v>0</v>
      </c>
      <c r="Q16" s="86"/>
      <c r="S16" s="85" t="b">
        <v>0</v>
      </c>
    </row>
    <row r="17" spans="1:19">
      <c r="A17" s="84"/>
      <c r="B17" s="84"/>
      <c r="C17" s="84"/>
      <c r="D17" s="84"/>
      <c r="K17" s="86"/>
      <c r="M17" s="85" t="b">
        <v>0</v>
      </c>
      <c r="N17" s="86"/>
      <c r="P17" s="85" t="b">
        <v>0</v>
      </c>
      <c r="Q17" s="86"/>
      <c r="S17" s="85" t="b">
        <v>0</v>
      </c>
    </row>
    <row r="18" spans="1:19">
      <c r="A18" s="84"/>
      <c r="B18" s="84"/>
      <c r="C18" s="84" t="s">
        <v>203</v>
      </c>
      <c r="D18" s="84"/>
      <c r="G18" s="76">
        <v>300</v>
      </c>
      <c r="I18" s="74" t="s">
        <v>204</v>
      </c>
      <c r="K18" s="86"/>
      <c r="M18" s="85" t="b">
        <v>0</v>
      </c>
      <c r="N18" s="86"/>
      <c r="P18" s="85" t="b">
        <v>0</v>
      </c>
      <c r="Q18" s="86"/>
      <c r="S18" s="85" t="b">
        <v>0</v>
      </c>
    </row>
    <row r="19" spans="1:19">
      <c r="A19" s="84"/>
      <c r="B19" s="84"/>
      <c r="C19" s="84"/>
      <c r="D19" s="84"/>
      <c r="K19" s="86"/>
      <c r="M19" s="85" t="b">
        <v>0</v>
      </c>
      <c r="N19" s="86"/>
      <c r="P19" s="85" t="b">
        <v>0</v>
      </c>
      <c r="Q19" s="86"/>
      <c r="S19" s="85" t="b">
        <v>0</v>
      </c>
    </row>
    <row r="20" spans="1:19">
      <c r="A20" s="84"/>
      <c r="B20" s="84"/>
      <c r="C20" s="84" t="s">
        <v>205</v>
      </c>
      <c r="D20" s="84"/>
      <c r="E20" s="76">
        <v>650</v>
      </c>
      <c r="G20" s="76">
        <v>533.96</v>
      </c>
      <c r="I20" s="74" t="s">
        <v>6</v>
      </c>
      <c r="K20" s="86"/>
      <c r="M20" s="85" t="b">
        <v>1</v>
      </c>
      <c r="N20" s="86">
        <v>45969</v>
      </c>
      <c r="P20" s="85" t="b">
        <v>0</v>
      </c>
      <c r="Q20" s="86"/>
      <c r="S20" s="85" t="b">
        <v>0</v>
      </c>
    </row>
    <row r="21" spans="1:19">
      <c r="A21" s="84"/>
      <c r="B21" s="84"/>
      <c r="C21" s="84" t="s">
        <v>206</v>
      </c>
      <c r="D21" s="84"/>
      <c r="E21" s="76">
        <v>350</v>
      </c>
      <c r="G21" s="76">
        <v>894.7</v>
      </c>
      <c r="I21" s="74" t="s">
        <v>207</v>
      </c>
      <c r="K21" s="86"/>
      <c r="M21" s="85" t="b">
        <v>1</v>
      </c>
      <c r="N21" s="86">
        <v>45968</v>
      </c>
      <c r="P21" s="85" t="b">
        <v>0</v>
      </c>
      <c r="Q21" s="86"/>
      <c r="S21" s="85" t="b">
        <v>0</v>
      </c>
    </row>
    <row r="22" spans="1:19">
      <c r="A22" s="84"/>
      <c r="B22" s="84"/>
      <c r="C22" s="84" t="s">
        <v>208</v>
      </c>
      <c r="D22" s="84"/>
      <c r="G22" s="76">
        <v>72.77</v>
      </c>
      <c r="I22" s="74" t="s">
        <v>209</v>
      </c>
      <c r="K22" s="86"/>
      <c r="M22" s="85" t="b">
        <v>1</v>
      </c>
      <c r="N22" s="86">
        <v>45971</v>
      </c>
      <c r="P22" s="85" t="b">
        <v>0</v>
      </c>
      <c r="Q22" s="86"/>
      <c r="S22" s="85" t="b">
        <v>0</v>
      </c>
    </row>
    <row r="23" spans="1:19">
      <c r="A23" s="84"/>
      <c r="B23" s="84"/>
      <c r="C23" s="84"/>
      <c r="D23" s="84"/>
      <c r="K23" s="86"/>
      <c r="M23" s="85" t="b">
        <v>0</v>
      </c>
      <c r="N23" s="86"/>
      <c r="P23" s="85" t="b">
        <v>0</v>
      </c>
      <c r="Q23" s="86"/>
      <c r="S23" s="85" t="b">
        <v>0</v>
      </c>
    </row>
    <row r="24" spans="1:19">
      <c r="A24" s="84"/>
      <c r="B24" s="84"/>
      <c r="C24" s="84" t="s">
        <v>210</v>
      </c>
      <c r="D24" s="84"/>
      <c r="K24" s="86"/>
      <c r="M24" s="85" t="b">
        <v>0</v>
      </c>
      <c r="N24" s="86"/>
      <c r="P24" s="85" t="b">
        <v>0</v>
      </c>
      <c r="Q24" s="86"/>
      <c r="S24" s="85" t="b">
        <v>0</v>
      </c>
    </row>
    <row r="25" spans="1:19">
      <c r="A25" s="84"/>
      <c r="B25" s="84"/>
      <c r="C25" s="84" t="s">
        <v>211</v>
      </c>
      <c r="D25" s="84"/>
      <c r="K25" s="86"/>
      <c r="M25" s="85" t="b">
        <v>0</v>
      </c>
      <c r="N25" s="86"/>
      <c r="P25" s="85" t="b">
        <v>0</v>
      </c>
      <c r="Q25" s="86"/>
      <c r="S25" s="85" t="b">
        <v>0</v>
      </c>
    </row>
    <row r="26" spans="1:19">
      <c r="A26" s="84"/>
      <c r="B26" s="84"/>
      <c r="C26" s="84" t="s">
        <v>212</v>
      </c>
      <c r="D26" s="84"/>
      <c r="K26" s="86"/>
      <c r="M26" s="85" t="b">
        <v>0</v>
      </c>
      <c r="N26" s="86"/>
      <c r="P26" s="85" t="b">
        <v>0</v>
      </c>
      <c r="Q26" s="86"/>
      <c r="S26" s="85" t="b">
        <v>0</v>
      </c>
    </row>
    <row r="27" spans="1:19">
      <c r="A27" s="20"/>
      <c r="B27" s="84"/>
      <c r="C27" s="84"/>
      <c r="D27" s="84"/>
      <c r="K27" s="86"/>
      <c r="M27" s="85" t="b">
        <v>0</v>
      </c>
      <c r="N27" s="86"/>
      <c r="P27" s="85" t="b">
        <v>0</v>
      </c>
      <c r="Q27" s="86"/>
      <c r="S27" s="85" t="b">
        <v>0</v>
      </c>
    </row>
    <row r="28" spans="1:19">
      <c r="A28" s="84"/>
      <c r="B28" s="84"/>
      <c r="C28" s="84"/>
      <c r="D28" s="84"/>
      <c r="K28" s="86"/>
      <c r="M28" s="85" t="b">
        <v>0</v>
      </c>
      <c r="N28" s="86"/>
      <c r="P28" s="85" t="b">
        <v>0</v>
      </c>
      <c r="Q28" s="86"/>
      <c r="S28" s="85" t="b">
        <v>0</v>
      </c>
    </row>
    <row r="29" spans="1:19">
      <c r="A29" s="84"/>
      <c r="B29" s="84"/>
      <c r="C29" s="84"/>
      <c r="D29" s="84"/>
      <c r="E29" s="76">
        <f>SUM(E3:E28)</f>
        <v>18290</v>
      </c>
      <c r="G29" s="76">
        <f>SUM(G3:G28)</f>
        <v>16317.230000000003</v>
      </c>
      <c r="K29" s="86"/>
      <c r="M29" s="85" t="b">
        <v>0</v>
      </c>
      <c r="N29" s="86"/>
      <c r="P29" s="85" t="b">
        <v>0</v>
      </c>
      <c r="Q29" s="86"/>
      <c r="S29" s="85" t="b">
        <v>0</v>
      </c>
    </row>
    <row r="30" spans="1:19">
      <c r="A30" s="84"/>
      <c r="B30" s="84"/>
      <c r="C30" s="84"/>
      <c r="D30" s="84"/>
      <c r="K30" s="86"/>
      <c r="M30" s="85" t="b">
        <v>0</v>
      </c>
      <c r="N30" s="86"/>
      <c r="P30" s="85" t="b">
        <v>0</v>
      </c>
      <c r="Q30" s="86"/>
      <c r="S30" s="85" t="b">
        <v>0</v>
      </c>
    </row>
    <row r="31" spans="1:19">
      <c r="A31" s="84"/>
      <c r="B31" s="84"/>
      <c r="C31" s="84"/>
      <c r="D31" s="84"/>
      <c r="K31" s="86"/>
      <c r="M31" s="85" t="b">
        <v>0</v>
      </c>
      <c r="N31" s="86"/>
      <c r="P31" s="85" t="b">
        <v>0</v>
      </c>
      <c r="Q31" s="86"/>
      <c r="S31" s="85" t="b">
        <v>0</v>
      </c>
    </row>
    <row r="32" spans="1:19">
      <c r="A32" s="84"/>
      <c r="B32" s="84"/>
      <c r="C32" s="84"/>
      <c r="D32" s="84"/>
      <c r="K32" s="86"/>
      <c r="M32" s="85" t="b">
        <v>0</v>
      </c>
      <c r="N32" s="86"/>
      <c r="P32" s="85" t="b">
        <v>0</v>
      </c>
      <c r="Q32" s="86"/>
      <c r="S32" s="85" t="b">
        <v>0</v>
      </c>
    </row>
    <row r="33" spans="1:19">
      <c r="A33" s="84"/>
      <c r="B33" s="84"/>
      <c r="C33" s="84"/>
      <c r="D33" s="84"/>
      <c r="K33" s="86"/>
      <c r="M33" s="85" t="b">
        <v>0</v>
      </c>
      <c r="N33" s="86"/>
      <c r="P33" s="85" t="b">
        <v>0</v>
      </c>
      <c r="Q33" s="86"/>
      <c r="S33" s="85" t="b">
        <v>0</v>
      </c>
    </row>
    <row r="34" spans="1:19">
      <c r="A34" s="84"/>
      <c r="B34" s="84"/>
      <c r="C34" s="84"/>
      <c r="D34" s="84"/>
      <c r="K34" s="86"/>
      <c r="M34" s="85" t="b">
        <v>0</v>
      </c>
      <c r="N34" s="86"/>
      <c r="P34" s="85" t="b">
        <v>0</v>
      </c>
      <c r="Q34" s="86"/>
      <c r="S34" s="85" t="b">
        <v>0</v>
      </c>
    </row>
    <row r="35" spans="1:19">
      <c r="A35" s="84"/>
      <c r="B35" s="84"/>
      <c r="C35" s="84"/>
      <c r="D35" s="84"/>
      <c r="K35" s="86"/>
      <c r="M35" s="85" t="b">
        <v>0</v>
      </c>
      <c r="N35" s="86"/>
      <c r="P35" s="85" t="b">
        <v>0</v>
      </c>
      <c r="Q35" s="86"/>
      <c r="S35" s="85" t="b">
        <v>0</v>
      </c>
    </row>
    <row r="36" spans="1:19">
      <c r="A36" s="84"/>
      <c r="B36" s="84"/>
      <c r="C36" s="84"/>
      <c r="D36" s="84"/>
      <c r="K36" s="86"/>
      <c r="M36" s="85" t="b">
        <v>0</v>
      </c>
      <c r="N36" s="86"/>
      <c r="P36" s="85" t="b">
        <v>0</v>
      </c>
      <c r="Q36" s="86"/>
      <c r="S36" s="85" t="b">
        <v>0</v>
      </c>
    </row>
    <row r="37" spans="1:19">
      <c r="A37" s="84"/>
      <c r="B37" s="84"/>
      <c r="C37" s="84"/>
      <c r="D37" s="84"/>
      <c r="K37" s="86"/>
      <c r="M37" s="85" t="b">
        <v>0</v>
      </c>
      <c r="N37" s="86"/>
      <c r="P37" s="85" t="b">
        <v>0</v>
      </c>
      <c r="Q37" s="86"/>
      <c r="S37" s="85" t="b">
        <v>0</v>
      </c>
    </row>
    <row r="38" spans="1:19">
      <c r="A38" s="84"/>
      <c r="B38" s="84"/>
      <c r="C38" s="84"/>
      <c r="D38" s="84"/>
      <c r="K38" s="86"/>
      <c r="M38" s="85" t="b">
        <v>0</v>
      </c>
      <c r="N38" s="86"/>
      <c r="P38" s="85" t="b">
        <v>0</v>
      </c>
      <c r="Q38" s="86"/>
      <c r="S38" s="85" t="b">
        <v>0</v>
      </c>
    </row>
    <row r="39" spans="1:19">
      <c r="A39" s="84"/>
      <c r="B39" s="84"/>
      <c r="C39" s="84"/>
      <c r="D39" s="84"/>
      <c r="K39" s="86"/>
      <c r="M39" s="85" t="b">
        <v>0</v>
      </c>
      <c r="N39" s="86"/>
      <c r="P39" s="85" t="b">
        <v>0</v>
      </c>
      <c r="Q39" s="86"/>
      <c r="S39" s="85" t="b">
        <v>0</v>
      </c>
    </row>
    <row r="40" spans="1:19">
      <c r="A40" s="84"/>
      <c r="B40" s="84"/>
      <c r="C40" s="84"/>
      <c r="D40" s="84"/>
      <c r="K40" s="86"/>
      <c r="M40" s="85" t="b">
        <v>0</v>
      </c>
      <c r="N40" s="86"/>
      <c r="P40" s="85" t="b">
        <v>0</v>
      </c>
      <c r="Q40" s="86"/>
      <c r="S40" s="85" t="b">
        <v>0</v>
      </c>
    </row>
    <row r="41" spans="1:19">
      <c r="A41" s="84"/>
      <c r="B41" s="84"/>
      <c r="C41" s="84"/>
      <c r="D41" s="84"/>
      <c r="K41" s="86"/>
      <c r="M41" s="85" t="b">
        <v>0</v>
      </c>
      <c r="N41" s="86"/>
      <c r="P41" s="85" t="b">
        <v>0</v>
      </c>
      <c r="Q41" s="86"/>
      <c r="S41" s="85" t="b">
        <v>0</v>
      </c>
    </row>
    <row r="42" spans="1:19">
      <c r="A42" s="84"/>
      <c r="B42" s="84"/>
      <c r="C42" s="84"/>
      <c r="D42" s="84"/>
      <c r="K42" s="86"/>
      <c r="M42" s="85" t="b">
        <v>0</v>
      </c>
      <c r="N42" s="86"/>
      <c r="P42" s="85" t="b">
        <v>0</v>
      </c>
      <c r="Q42" s="86"/>
      <c r="S42" s="85" t="b">
        <v>0</v>
      </c>
    </row>
    <row r="43" spans="1:19">
      <c r="A43" s="84"/>
      <c r="B43" s="84"/>
      <c r="C43" s="84"/>
      <c r="D43" s="84"/>
      <c r="K43" s="86"/>
      <c r="M43" s="85" t="b">
        <v>0</v>
      </c>
      <c r="N43" s="86"/>
      <c r="P43" s="85" t="b">
        <v>0</v>
      </c>
      <c r="Q43" s="86"/>
      <c r="S43" s="85" t="b">
        <v>0</v>
      </c>
    </row>
    <row r="44" spans="1:19">
      <c r="A44" s="84"/>
      <c r="B44" s="84"/>
      <c r="C44" s="84"/>
      <c r="D44" s="84"/>
      <c r="K44" s="86"/>
      <c r="M44" s="85" t="b">
        <v>0</v>
      </c>
      <c r="N44" s="86"/>
      <c r="P44" s="85" t="b">
        <v>0</v>
      </c>
      <c r="Q44" s="86"/>
      <c r="S44" s="85" t="b">
        <v>0</v>
      </c>
    </row>
    <row r="45" spans="1:19">
      <c r="A45" s="52"/>
      <c r="B45" s="84"/>
      <c r="C45" s="84"/>
      <c r="D45" s="84"/>
      <c r="K45" s="86"/>
      <c r="M45" s="83"/>
      <c r="N45" s="86"/>
      <c r="P45" s="83"/>
      <c r="Q45" s="86"/>
      <c r="S45" s="83"/>
    </row>
    <row r="46" spans="1:19">
      <c r="A46" s="84"/>
      <c r="B46" s="84"/>
      <c r="C46" s="84"/>
      <c r="D46" s="84"/>
      <c r="K46" s="86"/>
      <c r="M46" s="85" t="b">
        <v>0</v>
      </c>
      <c r="N46" s="86"/>
      <c r="P46" s="85" t="b">
        <v>0</v>
      </c>
      <c r="Q46" s="86"/>
      <c r="S46" s="85" t="b">
        <v>0</v>
      </c>
    </row>
    <row r="47" spans="1:19">
      <c r="A47" s="20"/>
      <c r="B47" s="84"/>
      <c r="C47" s="20"/>
      <c r="D47" s="84"/>
      <c r="K47" s="86"/>
      <c r="M47" s="85" t="b">
        <v>0</v>
      </c>
      <c r="N47" s="86"/>
      <c r="P47" s="85" t="b">
        <v>0</v>
      </c>
      <c r="Q47" s="86"/>
      <c r="S47" s="85" t="b">
        <v>0</v>
      </c>
    </row>
    <row r="48" spans="1:19">
      <c r="A48" s="84"/>
      <c r="B48" s="84"/>
      <c r="C48" s="84"/>
      <c r="D48" s="84"/>
      <c r="K48" s="86"/>
      <c r="M48" s="85" t="b">
        <v>0</v>
      </c>
      <c r="N48" s="86"/>
      <c r="P48" s="85" t="b">
        <v>0</v>
      </c>
      <c r="Q48" s="86"/>
      <c r="S48" s="85" t="b">
        <v>0</v>
      </c>
    </row>
    <row r="49" spans="1:19">
      <c r="A49" s="84"/>
      <c r="B49" s="84"/>
      <c r="C49" s="20"/>
      <c r="D49" s="84"/>
      <c r="K49" s="86"/>
      <c r="M49" s="85" t="b">
        <v>0</v>
      </c>
      <c r="N49" s="86"/>
      <c r="P49" s="85" t="b">
        <v>0</v>
      </c>
      <c r="Q49" s="86"/>
      <c r="S49" s="85" t="b">
        <v>0</v>
      </c>
    </row>
    <row r="50" spans="1:19">
      <c r="A50" s="84"/>
      <c r="B50" s="84"/>
      <c r="C50" s="84"/>
      <c r="D50" s="84"/>
      <c r="K50" s="86"/>
      <c r="M50" s="85" t="b">
        <v>0</v>
      </c>
      <c r="N50" s="86"/>
      <c r="P50" s="85" t="b">
        <v>0</v>
      </c>
      <c r="Q50" s="86"/>
      <c r="S50" s="85" t="b">
        <v>0</v>
      </c>
    </row>
    <row r="51" spans="1:19">
      <c r="A51" s="84"/>
      <c r="B51" s="84"/>
      <c r="C51" s="84"/>
      <c r="D51" s="84"/>
      <c r="K51" s="86"/>
      <c r="M51" s="83"/>
      <c r="N51" s="86"/>
      <c r="P51" s="83"/>
      <c r="Q51" s="86"/>
      <c r="S51" s="83"/>
    </row>
    <row r="52" spans="1:19">
      <c r="A52" s="84"/>
      <c r="B52" s="84"/>
      <c r="C52" s="84"/>
      <c r="D52" s="84"/>
      <c r="K52" s="86"/>
      <c r="M52" s="83"/>
      <c r="P52" s="83"/>
      <c r="S52" s="83"/>
    </row>
    <row r="53" spans="1:19">
      <c r="A53" s="52"/>
      <c r="B53" s="84"/>
      <c r="C53" s="84"/>
      <c r="D53" s="84"/>
      <c r="K53" s="86"/>
      <c r="M53" s="85" t="b">
        <v>0</v>
      </c>
      <c r="N53" s="86"/>
      <c r="P53" s="85" t="b">
        <v>0</v>
      </c>
      <c r="Q53" s="86"/>
      <c r="S53" s="85" t="b">
        <v>0</v>
      </c>
    </row>
    <row r="54" spans="1:19">
      <c r="A54" s="84"/>
      <c r="B54" s="84"/>
      <c r="C54" s="84"/>
      <c r="D54" s="84"/>
      <c r="K54" s="86"/>
      <c r="M54" s="85" t="b">
        <v>0</v>
      </c>
      <c r="N54" s="86"/>
      <c r="P54" s="85" t="b">
        <v>0</v>
      </c>
      <c r="Q54" s="86"/>
      <c r="S54" s="85" t="b">
        <v>0</v>
      </c>
    </row>
    <row r="55" spans="1:19">
      <c r="A55" s="84"/>
      <c r="B55" s="84"/>
      <c r="C55" s="84"/>
      <c r="D55" s="84"/>
      <c r="K55" s="86"/>
      <c r="M55" s="85" t="b">
        <v>0</v>
      </c>
      <c r="N55" s="86"/>
      <c r="P55" s="85" t="b">
        <v>0</v>
      </c>
      <c r="Q55" s="86"/>
      <c r="S55" s="85" t="b">
        <v>0</v>
      </c>
    </row>
    <row r="56" spans="1:19">
      <c r="A56" s="84"/>
      <c r="B56" s="84"/>
      <c r="C56" s="20"/>
      <c r="D56" s="84"/>
      <c r="K56" s="86"/>
      <c r="M56" s="85" t="b">
        <v>0</v>
      </c>
      <c r="N56" s="86"/>
      <c r="P56" s="85" t="b">
        <v>0</v>
      </c>
      <c r="Q56" s="86"/>
      <c r="S56" s="85" t="b">
        <v>0</v>
      </c>
    </row>
    <row r="57" spans="1:19">
      <c r="A57" s="84"/>
      <c r="B57" s="84"/>
      <c r="C57" s="20"/>
      <c r="D57" s="84"/>
      <c r="K57" s="86"/>
      <c r="M57" s="85" t="b">
        <v>0</v>
      </c>
      <c r="N57" s="86"/>
      <c r="P57" s="85" t="b">
        <v>0</v>
      </c>
      <c r="Q57" s="86"/>
      <c r="S57" s="85" t="b">
        <v>0</v>
      </c>
    </row>
    <row r="58" spans="1:19">
      <c r="A58" s="84"/>
      <c r="B58" s="84"/>
      <c r="C58" s="84"/>
      <c r="D58" s="84"/>
      <c r="K58" s="86"/>
      <c r="M58" s="85" t="b">
        <v>0</v>
      </c>
      <c r="N58" s="86"/>
      <c r="P58" s="85" t="b">
        <v>0</v>
      </c>
      <c r="Q58" s="86"/>
      <c r="S58" s="85" t="b">
        <v>0</v>
      </c>
    </row>
    <row r="59" spans="1:19">
      <c r="A59" s="84"/>
      <c r="B59" s="84"/>
      <c r="C59" s="84"/>
      <c r="D59" s="84"/>
      <c r="K59" s="86"/>
      <c r="M59" s="85" t="b">
        <v>0</v>
      </c>
      <c r="N59" s="86"/>
      <c r="P59" s="85" t="b">
        <v>0</v>
      </c>
      <c r="Q59" s="86"/>
      <c r="S59" s="85" t="b">
        <v>0</v>
      </c>
    </row>
    <row r="60" spans="1:19">
      <c r="A60" s="84"/>
      <c r="B60" s="84"/>
      <c r="C60" s="84"/>
      <c r="D60" s="84"/>
      <c r="K60" s="86"/>
      <c r="M60" s="85" t="b">
        <v>0</v>
      </c>
      <c r="N60" s="86"/>
      <c r="P60" s="85" t="b">
        <v>0</v>
      </c>
      <c r="Q60" s="86"/>
      <c r="S60" s="85" t="b">
        <v>0</v>
      </c>
    </row>
    <row r="61" spans="1:19">
      <c r="A61" s="84"/>
      <c r="B61" s="84"/>
      <c r="C61" s="20"/>
      <c r="D61" s="84"/>
      <c r="K61" s="86"/>
      <c r="M61" s="85" t="b">
        <v>0</v>
      </c>
      <c r="N61" s="86"/>
      <c r="P61" s="85" t="b">
        <v>0</v>
      </c>
      <c r="S61" s="85" t="b">
        <v>0</v>
      </c>
    </row>
    <row r="62" spans="1:19">
      <c r="A62" s="84"/>
      <c r="B62" s="84"/>
      <c r="C62" s="20"/>
      <c r="D62" s="84"/>
      <c r="K62" s="86"/>
      <c r="M62" s="85" t="b">
        <v>0</v>
      </c>
      <c r="N62" s="86"/>
      <c r="P62" s="85" t="b">
        <v>0</v>
      </c>
      <c r="S62" s="85" t="b">
        <v>0</v>
      </c>
    </row>
    <row r="63" spans="1:19">
      <c r="A63" s="84"/>
      <c r="B63" s="84"/>
      <c r="C63" s="84"/>
      <c r="D63" s="84"/>
      <c r="K63" s="86"/>
      <c r="M63" s="85" t="b">
        <v>0</v>
      </c>
      <c r="N63" s="86"/>
      <c r="P63" s="85" t="b">
        <v>0</v>
      </c>
      <c r="S63" s="85" t="b">
        <v>0</v>
      </c>
    </row>
    <row r="64" spans="1:19">
      <c r="A64" s="20"/>
      <c r="B64" s="84"/>
      <c r="C64" s="20"/>
      <c r="D64" s="84"/>
      <c r="K64" s="86"/>
      <c r="M64" s="85" t="b">
        <v>0</v>
      </c>
      <c r="N64" s="86"/>
      <c r="P64" s="85" t="b">
        <v>0</v>
      </c>
      <c r="S64" s="85" t="b">
        <v>0</v>
      </c>
    </row>
    <row r="65" spans="1:19">
      <c r="A65" s="84"/>
      <c r="B65" s="84"/>
      <c r="C65" s="20"/>
      <c r="D65" s="84"/>
      <c r="K65" s="86"/>
      <c r="M65" s="85" t="b">
        <v>0</v>
      </c>
      <c r="N65" s="86"/>
      <c r="P65" s="85" t="b">
        <v>0</v>
      </c>
      <c r="S65" s="85" t="b">
        <v>0</v>
      </c>
    </row>
    <row r="66" spans="1:19">
      <c r="A66" s="84"/>
      <c r="B66" s="84"/>
      <c r="C66" s="20"/>
      <c r="D66" s="84"/>
      <c r="K66" s="86"/>
      <c r="M66" s="85" t="b">
        <v>0</v>
      </c>
      <c r="N66" s="86"/>
      <c r="P66" s="85" t="b">
        <v>0</v>
      </c>
      <c r="S66" s="85" t="b">
        <v>0</v>
      </c>
    </row>
    <row r="67" spans="1:19">
      <c r="A67" s="84"/>
      <c r="B67" s="84"/>
      <c r="C67" s="20"/>
      <c r="D67" s="84"/>
      <c r="K67" s="86"/>
      <c r="M67" s="85" t="b">
        <v>0</v>
      </c>
      <c r="N67" s="86"/>
      <c r="P67" s="85" t="b">
        <v>0</v>
      </c>
      <c r="S67" s="85" t="b">
        <v>0</v>
      </c>
    </row>
    <row r="68" spans="1:19">
      <c r="A68" s="84"/>
      <c r="B68" s="84"/>
      <c r="C68" s="20"/>
      <c r="D68" s="84"/>
      <c r="K68" s="86"/>
      <c r="M68" s="85" t="b">
        <v>0</v>
      </c>
      <c r="N68" s="86"/>
      <c r="P68" s="85" t="b">
        <v>0</v>
      </c>
      <c r="S68" s="85" t="b">
        <v>0</v>
      </c>
    </row>
    <row r="69" spans="1:19">
      <c r="A69" s="84"/>
      <c r="B69" s="84"/>
      <c r="C69" s="20"/>
      <c r="D69" s="84"/>
      <c r="K69" s="86"/>
      <c r="M69" s="85" t="b">
        <v>0</v>
      </c>
      <c r="N69" s="86"/>
      <c r="P69" s="85" t="b">
        <v>0</v>
      </c>
      <c r="S69" s="85" t="b">
        <v>0</v>
      </c>
    </row>
    <row r="70" spans="1:19">
      <c r="A70" s="84"/>
      <c r="B70" s="84"/>
      <c r="C70" s="84"/>
      <c r="D70" s="84"/>
      <c r="K70" s="86"/>
      <c r="M70" s="83"/>
      <c r="P70" s="83"/>
      <c r="S70" s="83"/>
    </row>
    <row r="71" spans="1:19">
      <c r="A71" s="20"/>
      <c r="B71" s="84"/>
      <c r="C71" s="20"/>
      <c r="D71" s="84"/>
      <c r="K71" s="86"/>
      <c r="M71" s="85" t="b">
        <v>0</v>
      </c>
      <c r="N71" s="86"/>
      <c r="P71" s="85" t="b">
        <v>0</v>
      </c>
      <c r="Q71" s="86"/>
      <c r="S71" s="85" t="b">
        <v>0</v>
      </c>
    </row>
    <row r="72" spans="1:19">
      <c r="A72" s="84"/>
      <c r="B72" s="84"/>
      <c r="C72" s="84"/>
      <c r="D72" s="84"/>
      <c r="K72" s="86"/>
      <c r="M72" s="85" t="b">
        <v>0</v>
      </c>
      <c r="N72" s="86"/>
      <c r="P72" s="85" t="b">
        <v>0</v>
      </c>
      <c r="Q72" s="86"/>
      <c r="S72" s="85" t="b">
        <v>0</v>
      </c>
    </row>
    <row r="73" spans="1:19">
      <c r="A73" s="84"/>
      <c r="B73" s="84"/>
      <c r="C73" s="84"/>
      <c r="D73" s="84"/>
      <c r="K73" s="86"/>
      <c r="M73" s="85" t="b">
        <v>0</v>
      </c>
      <c r="N73" s="86"/>
      <c r="P73" s="85" t="b">
        <v>0</v>
      </c>
      <c r="Q73" s="86"/>
      <c r="S73" s="85" t="b">
        <v>0</v>
      </c>
    </row>
    <row r="74" spans="1:19">
      <c r="A74" s="84"/>
      <c r="B74" s="84"/>
      <c r="C74" s="20"/>
      <c r="D74" s="84"/>
      <c r="K74" s="86"/>
      <c r="M74" s="85" t="b">
        <v>0</v>
      </c>
      <c r="N74" s="86"/>
      <c r="P74" s="85" t="b">
        <v>0</v>
      </c>
      <c r="Q74" s="86"/>
      <c r="S74" s="85" t="b">
        <v>0</v>
      </c>
    </row>
    <row r="75" spans="1:19">
      <c r="A75" s="84"/>
      <c r="B75" s="84"/>
      <c r="C75" s="20"/>
      <c r="D75" s="84"/>
      <c r="K75" s="86"/>
      <c r="M75" s="85" t="b">
        <v>0</v>
      </c>
      <c r="N75" s="86"/>
      <c r="P75" s="85" t="b">
        <v>0</v>
      </c>
      <c r="Q75" s="86"/>
      <c r="S75" s="85" t="b">
        <v>0</v>
      </c>
    </row>
    <row r="76" spans="1:19">
      <c r="A76" s="84"/>
      <c r="B76" s="84"/>
      <c r="C76" s="20"/>
      <c r="D76" s="84"/>
      <c r="K76" s="86"/>
      <c r="M76" s="85" t="b">
        <v>0</v>
      </c>
      <c r="N76" s="86"/>
      <c r="P76" s="85" t="b">
        <v>0</v>
      </c>
      <c r="Q76" s="86"/>
      <c r="S76" s="85" t="b">
        <v>0</v>
      </c>
    </row>
    <row r="77" spans="1:19">
      <c r="A77" s="84"/>
      <c r="B77" s="84"/>
      <c r="C77" s="84"/>
      <c r="D77" s="84"/>
      <c r="K77" s="86"/>
      <c r="M77" s="85" t="b">
        <v>0</v>
      </c>
      <c r="N77" s="86"/>
      <c r="P77" s="85" t="b">
        <v>0</v>
      </c>
      <c r="Q77" s="86"/>
      <c r="S77" s="85" t="b">
        <v>0</v>
      </c>
    </row>
    <row r="78" spans="1:19">
      <c r="A78" s="84"/>
      <c r="B78" s="84"/>
      <c r="C78" s="84"/>
      <c r="D78" s="84"/>
      <c r="K78" s="86"/>
      <c r="M78" s="85" t="b">
        <v>0</v>
      </c>
      <c r="N78" s="86"/>
      <c r="P78" s="85" t="b">
        <v>0</v>
      </c>
      <c r="Q78" s="86"/>
      <c r="S78" s="85" t="b">
        <v>0</v>
      </c>
    </row>
    <row r="79" spans="1:19">
      <c r="A79" s="84"/>
      <c r="B79" s="84"/>
      <c r="C79" s="84"/>
      <c r="D79" s="84"/>
      <c r="K79" s="86"/>
      <c r="M79" s="85" t="b">
        <v>0</v>
      </c>
      <c r="N79" s="86"/>
      <c r="P79" s="85" t="b">
        <v>0</v>
      </c>
      <c r="Q79" s="86"/>
      <c r="S79" s="85" t="b">
        <v>0</v>
      </c>
    </row>
    <row r="80" spans="1:19">
      <c r="A80" s="84"/>
      <c r="B80" s="84"/>
      <c r="C80" s="84"/>
      <c r="D80" s="84"/>
      <c r="K80" s="86"/>
      <c r="M80" s="85" t="b">
        <v>0</v>
      </c>
      <c r="N80" s="86"/>
      <c r="P80" s="85" t="b">
        <v>0</v>
      </c>
      <c r="Q80" s="86"/>
      <c r="S80" s="85" t="b">
        <v>0</v>
      </c>
    </row>
    <row r="81" spans="1:19">
      <c r="A81" s="20"/>
      <c r="B81" s="84"/>
      <c r="C81" s="20"/>
      <c r="D81" s="84"/>
      <c r="K81" s="86"/>
      <c r="M81" s="85" t="b">
        <v>0</v>
      </c>
      <c r="N81" s="86"/>
      <c r="P81" s="85" t="b">
        <v>0</v>
      </c>
      <c r="Q81" s="86"/>
      <c r="S81" s="85" t="b">
        <v>0</v>
      </c>
    </row>
    <row r="82" spans="1:19">
      <c r="A82" s="84"/>
      <c r="B82" s="84"/>
      <c r="C82" s="20"/>
      <c r="D82" s="84"/>
      <c r="K82" s="86"/>
      <c r="M82" s="85" t="b">
        <v>0</v>
      </c>
      <c r="N82" s="86"/>
      <c r="P82" s="85" t="b">
        <v>0</v>
      </c>
      <c r="Q82" s="86"/>
      <c r="S82" s="85" t="b">
        <v>0</v>
      </c>
    </row>
    <row r="83" spans="1:19">
      <c r="A83" s="84"/>
      <c r="B83" s="84"/>
      <c r="C83" s="20"/>
      <c r="D83" s="84"/>
      <c r="K83" s="86"/>
      <c r="M83" s="85" t="b">
        <v>0</v>
      </c>
      <c r="N83" s="86"/>
      <c r="P83" s="85" t="b">
        <v>0</v>
      </c>
      <c r="Q83" s="86"/>
      <c r="S83" s="85" t="b">
        <v>0</v>
      </c>
    </row>
    <row r="84" spans="1:19">
      <c r="A84" s="84"/>
      <c r="B84" s="84"/>
      <c r="C84" s="84"/>
      <c r="D84" s="84"/>
      <c r="K84" s="86"/>
      <c r="M84" s="85" t="b">
        <v>0</v>
      </c>
      <c r="N84" s="86"/>
      <c r="P84" s="85" t="b">
        <v>0</v>
      </c>
      <c r="Q84" s="86"/>
      <c r="S84" s="85" t="b">
        <v>0</v>
      </c>
    </row>
    <row r="85" spans="1:19">
      <c r="A85" s="84"/>
      <c r="B85" s="84"/>
      <c r="C85" s="20"/>
      <c r="D85" s="84"/>
      <c r="K85" s="86"/>
      <c r="M85" s="85" t="b">
        <v>0</v>
      </c>
      <c r="N85" s="86"/>
      <c r="P85" s="85" t="b">
        <v>0</v>
      </c>
      <c r="Q85" s="86"/>
      <c r="S85" s="85" t="b">
        <v>0</v>
      </c>
    </row>
    <row r="86" spans="1:19">
      <c r="A86" s="84"/>
      <c r="B86" s="84"/>
      <c r="C86" s="84"/>
      <c r="D86" s="84"/>
      <c r="K86" s="86"/>
      <c r="M86" s="85" t="b">
        <v>0</v>
      </c>
      <c r="N86" s="86"/>
      <c r="P86" s="85" t="b">
        <v>0</v>
      </c>
      <c r="Q86" s="86"/>
      <c r="S86" s="85" t="b">
        <v>0</v>
      </c>
    </row>
    <row r="87" spans="1:19">
      <c r="A87" s="84"/>
      <c r="B87" s="84"/>
      <c r="C87" s="84"/>
      <c r="D87" s="84"/>
      <c r="K87" s="86"/>
      <c r="M87" s="85" t="b">
        <v>0</v>
      </c>
      <c r="N87" s="86"/>
      <c r="P87" s="85" t="b">
        <v>0</v>
      </c>
      <c r="Q87" s="86"/>
      <c r="S87" s="85" t="b">
        <v>0</v>
      </c>
    </row>
    <row r="88" spans="1:19">
      <c r="A88" s="84"/>
      <c r="B88" s="84"/>
      <c r="C88" s="84"/>
      <c r="D88" s="84"/>
      <c r="K88" s="86"/>
      <c r="M88" s="85" t="b">
        <v>0</v>
      </c>
      <c r="N88" s="86"/>
      <c r="P88" s="85" t="b">
        <v>0</v>
      </c>
      <c r="Q88" s="86"/>
      <c r="S88" s="85" t="b">
        <v>0</v>
      </c>
    </row>
    <row r="89" spans="1:19">
      <c r="A89" s="84"/>
      <c r="B89" s="84"/>
      <c r="C89" s="84"/>
      <c r="D89" s="84"/>
      <c r="K89" s="86"/>
      <c r="M89" s="85" t="b">
        <v>0</v>
      </c>
      <c r="N89" s="86"/>
      <c r="P89" s="85" t="b">
        <v>0</v>
      </c>
      <c r="Q89" s="86"/>
      <c r="S89" s="85" t="b">
        <v>0</v>
      </c>
    </row>
    <row r="90" spans="1:19">
      <c r="A90" s="84"/>
      <c r="B90" s="84"/>
      <c r="C90" s="84"/>
      <c r="D90" s="84"/>
      <c r="K90" s="86"/>
      <c r="M90" s="85" t="b">
        <v>0</v>
      </c>
      <c r="N90" s="86"/>
      <c r="P90" s="85" t="b">
        <v>0</v>
      </c>
      <c r="Q90" s="86"/>
      <c r="S90" s="85" t="b">
        <v>0</v>
      </c>
    </row>
    <row r="91" spans="1:19">
      <c r="B91" s="83"/>
      <c r="K91" s="75"/>
      <c r="M91" s="83"/>
      <c r="P91" s="83"/>
      <c r="S91" s="83"/>
    </row>
    <row r="92" spans="1:19">
      <c r="A92" s="3"/>
      <c r="B92" s="83"/>
      <c r="C92" s="3"/>
      <c r="K92" s="75"/>
      <c r="M92" s="83"/>
      <c r="P92" s="83"/>
      <c r="S92" s="83"/>
    </row>
    <row r="93" spans="1:19">
      <c r="B93" s="83"/>
      <c r="K93" s="75"/>
      <c r="M93" s="83"/>
      <c r="P93" s="83"/>
      <c r="S93" s="83"/>
    </row>
    <row r="94" spans="1:19">
      <c r="B94" s="83"/>
      <c r="M94" s="83"/>
      <c r="P94" s="83"/>
      <c r="S94" s="83"/>
    </row>
    <row r="95" spans="1:19">
      <c r="B95" s="83"/>
      <c r="M95" s="91"/>
      <c r="P95" s="91"/>
      <c r="S95" s="91"/>
    </row>
    <row r="96" spans="1:19" s="75" customFormat="1">
      <c r="B96" s="77"/>
      <c r="E96" s="78"/>
      <c r="F96" s="78"/>
      <c r="G96" s="78"/>
      <c r="M96" s="92"/>
      <c r="P96" s="92"/>
      <c r="S96" s="92"/>
    </row>
    <row r="97" spans="2:19" s="75" customFormat="1">
      <c r="B97" s="77"/>
      <c r="E97" s="78"/>
      <c r="F97" s="78"/>
      <c r="G97" s="78"/>
      <c r="K97" s="74"/>
      <c r="M97" s="91"/>
      <c r="P97" s="91"/>
      <c r="S97" s="91"/>
    </row>
    <row r="98" spans="2:19" s="75" customFormat="1">
      <c r="B98" s="83"/>
      <c r="C98" s="74"/>
      <c r="D98" s="74"/>
      <c r="E98" s="78"/>
      <c r="F98" s="78"/>
      <c r="G98" s="78"/>
      <c r="M98" s="77"/>
      <c r="P98" s="77"/>
      <c r="S98" s="77"/>
    </row>
    <row r="99" spans="2:19" s="75" customFormat="1">
      <c r="B99" s="83"/>
      <c r="C99" s="74"/>
      <c r="D99" s="74"/>
      <c r="E99" s="78"/>
      <c r="F99" s="78"/>
      <c r="G99" s="78"/>
      <c r="M99" s="77"/>
      <c r="P99" s="77"/>
      <c r="S99" s="77"/>
    </row>
    <row r="100" spans="2:19">
      <c r="B100" s="83"/>
      <c r="K100" s="75"/>
      <c r="M100" s="77"/>
      <c r="P100" s="77"/>
      <c r="S100" s="77"/>
    </row>
    <row r="101" spans="2:19">
      <c r="B101" s="83"/>
      <c r="K101" s="75"/>
      <c r="M101" s="83"/>
      <c r="P101" s="83"/>
      <c r="S101" s="83"/>
    </row>
    <row r="102" spans="2:19">
      <c r="B102" s="83"/>
      <c r="K102" s="75"/>
      <c r="M102" s="83"/>
      <c r="P102" s="83"/>
      <c r="S102" s="83"/>
    </row>
    <row r="103" spans="2:19" s="5" customFormat="1">
      <c r="B103" s="4"/>
      <c r="C103" s="5" t="s">
        <v>108</v>
      </c>
      <c r="E103" s="11">
        <f>SUM(E6:E102)</f>
        <v>36580</v>
      </c>
      <c r="F103" s="11"/>
      <c r="G103" s="11"/>
      <c r="M103" s="4"/>
      <c r="P103" s="4"/>
      <c r="S103" s="4"/>
    </row>
    <row r="104" spans="2:19">
      <c r="B104" s="83"/>
      <c r="M104" s="83"/>
      <c r="P104" s="83"/>
      <c r="S104" s="83"/>
    </row>
    <row r="105" spans="2:19">
      <c r="B105" s="83"/>
      <c r="M105" s="83"/>
      <c r="P105" s="83"/>
      <c r="S105" s="83"/>
    </row>
    <row r="106" spans="2:19">
      <c r="B106" s="83"/>
      <c r="M106" s="83"/>
      <c r="P106" s="83"/>
      <c r="S106" s="83"/>
    </row>
    <row r="107" spans="2:19">
      <c r="B107" s="83"/>
      <c r="M107" s="83"/>
      <c r="P107" s="83"/>
      <c r="S107" s="83"/>
    </row>
    <row r="108" spans="2:19">
      <c r="B108" s="83"/>
      <c r="M108" s="83"/>
      <c r="P108" s="83"/>
      <c r="S108" s="83"/>
    </row>
    <row r="109" spans="2:19">
      <c r="B109" s="83"/>
      <c r="M109" s="83"/>
      <c r="P109" s="83"/>
      <c r="S109" s="83"/>
    </row>
    <row r="110" spans="2:19">
      <c r="B110" s="83"/>
      <c r="M110" s="83"/>
      <c r="P110" s="83"/>
      <c r="S110" s="83"/>
    </row>
    <row r="111" spans="2:19">
      <c r="M111" s="83"/>
      <c r="P111" s="83"/>
      <c r="S111" s="83"/>
    </row>
    <row r="112" spans="2:19">
      <c r="M112" s="83"/>
      <c r="P112" s="83"/>
      <c r="S112" s="83"/>
    </row>
    <row r="113" spans="13:19">
      <c r="M113" s="83"/>
      <c r="P113" s="83"/>
      <c r="S113" s="83"/>
    </row>
  </sheetData>
  <pageMargins left="0.7" right="0.7" top="0.75" bottom="0.75" header="0.3" footer="0.3"/>
  <pageSetup orientation="portrait" horizontalDpi="203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A410-9392-4432-B681-2A196710EE1B}">
  <dimension ref="A1:Q136"/>
  <sheetViews>
    <sheetView zoomScale="92" workbookViewId="0">
      <pane ySplit="2" topLeftCell="A31" activePane="bottomLeft" state="frozen"/>
      <selection pane="bottomLeft" activeCell="A23" sqref="A23:XFD23"/>
      <selection activeCell="C1" sqref="C1"/>
    </sheetView>
  </sheetViews>
  <sheetFormatPr defaultColWidth="8.85546875" defaultRowHeight="15.95"/>
  <cols>
    <col min="1" max="1" width="12.7109375" style="74" customWidth="1"/>
    <col min="2" max="2" width="9.140625" style="74" bestFit="1" customWidth="1"/>
    <col min="3" max="3" width="37.85546875" style="74" customWidth="1"/>
    <col min="4" max="4" width="20.7109375" style="74" customWidth="1"/>
    <col min="5" max="5" width="17.5703125" style="76" customWidth="1"/>
    <col min="6" max="6" width="1.85546875" style="76" customWidth="1"/>
    <col min="7" max="7" width="20" style="76" customWidth="1"/>
    <col min="8" max="8" width="2.7109375" style="74" customWidth="1"/>
    <col min="9" max="9" width="17.5703125" style="74" customWidth="1"/>
    <col min="10" max="10" width="2.42578125" style="74" customWidth="1"/>
    <col min="11" max="11" width="13.7109375" style="74" customWidth="1"/>
    <col min="12" max="12" width="2.7109375" style="74" customWidth="1"/>
    <col min="13" max="13" width="9.140625" style="74" bestFit="1" customWidth="1"/>
    <col min="14" max="14" width="11.42578125" style="74" customWidth="1"/>
    <col min="15" max="15" width="2.140625" style="74" customWidth="1"/>
    <col min="16" max="16" width="9.140625" style="74" bestFit="1" customWidth="1"/>
    <col min="17" max="17" width="32.5703125" style="74" customWidth="1"/>
    <col min="18" max="18" width="21.42578125" style="74" customWidth="1"/>
    <col min="19" max="16384" width="8.85546875" style="74"/>
  </cols>
  <sheetData>
    <row r="1" spans="1:17" s="75" customFormat="1">
      <c r="A1" s="77" t="s">
        <v>190</v>
      </c>
      <c r="E1" s="78"/>
      <c r="F1" s="78"/>
      <c r="G1" s="78"/>
      <c r="M1" s="77"/>
      <c r="P1" s="77"/>
    </row>
    <row r="2" spans="1:17" s="75" customFormat="1" ht="47.65">
      <c r="B2" s="77"/>
      <c r="C2" s="75" t="s">
        <v>213</v>
      </c>
      <c r="D2" s="75" t="s">
        <v>214</v>
      </c>
      <c r="E2" s="79" t="s">
        <v>67</v>
      </c>
      <c r="F2" s="79"/>
      <c r="G2" s="79" t="s">
        <v>68</v>
      </c>
      <c r="H2" s="80"/>
      <c r="I2" s="80" t="s">
        <v>5</v>
      </c>
      <c r="J2" s="80"/>
      <c r="K2" s="81" t="s">
        <v>69</v>
      </c>
      <c r="M2" s="82"/>
      <c r="N2" s="81" t="s">
        <v>70</v>
      </c>
      <c r="P2" s="82"/>
      <c r="Q2" s="80" t="s">
        <v>72</v>
      </c>
    </row>
    <row r="3" spans="1:17" s="75" customFormat="1">
      <c r="A3" s="77" t="s">
        <v>73</v>
      </c>
      <c r="E3" s="78"/>
      <c r="F3" s="78"/>
      <c r="G3" s="78"/>
    </row>
    <row r="4" spans="1:17">
      <c r="B4" s="83"/>
      <c r="M4" s="83"/>
      <c r="P4" s="83"/>
    </row>
    <row r="5" spans="1:17">
      <c r="A5" s="84"/>
      <c r="B5" s="84"/>
      <c r="C5" s="84" t="s">
        <v>215</v>
      </c>
      <c r="D5" s="84"/>
      <c r="E5" s="76">
        <v>200</v>
      </c>
      <c r="M5" s="83"/>
      <c r="P5" s="83"/>
    </row>
    <row r="6" spans="1:17">
      <c r="A6" s="84"/>
      <c r="B6" s="84"/>
      <c r="C6" s="84"/>
      <c r="D6" s="84"/>
      <c r="M6" s="83"/>
      <c r="P6" s="83"/>
    </row>
    <row r="7" spans="1:17">
      <c r="A7" s="52" t="s">
        <v>216</v>
      </c>
      <c r="B7" s="84"/>
      <c r="C7" s="84" t="s">
        <v>96</v>
      </c>
      <c r="D7" s="84"/>
      <c r="K7" s="86"/>
      <c r="M7" s="85" t="b">
        <v>0</v>
      </c>
      <c r="P7" s="85" t="b">
        <v>0</v>
      </c>
    </row>
    <row r="8" spans="1:17">
      <c r="A8" s="84"/>
      <c r="B8" s="84"/>
      <c r="C8" s="84" t="s">
        <v>217</v>
      </c>
      <c r="D8" s="84"/>
      <c r="K8" s="86"/>
      <c r="M8" s="85" t="b">
        <v>0</v>
      </c>
      <c r="P8" s="85" t="b">
        <v>0</v>
      </c>
    </row>
    <row r="9" spans="1:17">
      <c r="A9" s="84"/>
      <c r="B9" s="84"/>
      <c r="C9" s="84" t="s">
        <v>218</v>
      </c>
      <c r="D9" s="84"/>
      <c r="E9" s="76">
        <v>400</v>
      </c>
      <c r="K9" s="86"/>
      <c r="M9" s="85" t="b">
        <v>0</v>
      </c>
      <c r="P9" s="85" t="b">
        <v>0</v>
      </c>
    </row>
    <row r="10" spans="1:17">
      <c r="A10" s="84"/>
      <c r="B10" s="84"/>
      <c r="C10" s="20" t="s">
        <v>219</v>
      </c>
      <c r="D10" s="84"/>
      <c r="G10" s="76" t="s">
        <v>220</v>
      </c>
      <c r="I10" s="74" t="s">
        <v>138</v>
      </c>
      <c r="K10" s="86"/>
      <c r="M10" s="85" t="b">
        <v>1</v>
      </c>
      <c r="P10" s="85" t="b">
        <v>0</v>
      </c>
    </row>
    <row r="11" spans="1:17">
      <c r="A11" s="84"/>
      <c r="B11" s="84"/>
      <c r="C11" s="84" t="s">
        <v>221</v>
      </c>
      <c r="D11" s="84"/>
      <c r="K11" s="86"/>
      <c r="M11" s="85" t="b">
        <v>0</v>
      </c>
      <c r="P11" s="85" t="b">
        <v>0</v>
      </c>
    </row>
    <row r="12" spans="1:17">
      <c r="A12" s="84"/>
      <c r="B12" s="84"/>
      <c r="C12" s="84"/>
      <c r="D12" s="84"/>
      <c r="K12" s="86"/>
      <c r="M12" s="85" t="b">
        <v>0</v>
      </c>
      <c r="P12" s="85" t="b">
        <v>0</v>
      </c>
    </row>
    <row r="13" spans="1:17">
      <c r="A13" s="84"/>
      <c r="B13" s="84"/>
      <c r="C13" s="84"/>
      <c r="D13" s="84"/>
      <c r="K13" s="86"/>
      <c r="M13" s="83"/>
      <c r="P13" s="83"/>
    </row>
    <row r="14" spans="1:17">
      <c r="A14" s="52" t="s">
        <v>222</v>
      </c>
      <c r="B14" s="84"/>
      <c r="C14" s="84"/>
      <c r="D14" s="84"/>
      <c r="K14" s="86"/>
      <c r="M14" s="83"/>
      <c r="P14" s="83"/>
    </row>
    <row r="15" spans="1:17">
      <c r="A15" s="52"/>
      <c r="B15" s="84"/>
      <c r="C15" s="84" t="s">
        <v>223</v>
      </c>
      <c r="D15" s="84" t="s">
        <v>127</v>
      </c>
      <c r="E15" s="76">
        <v>1000</v>
      </c>
      <c r="G15" s="76">
        <f>180.85*10%+180.85</f>
        <v>198.935</v>
      </c>
      <c r="I15" s="3" t="s">
        <v>6</v>
      </c>
      <c r="K15" s="86">
        <v>45980</v>
      </c>
      <c r="M15" s="85" t="b">
        <v>1</v>
      </c>
      <c r="N15" s="86"/>
      <c r="P15" s="85" t="b">
        <v>0</v>
      </c>
    </row>
    <row r="16" spans="1:17">
      <c r="A16" s="52"/>
      <c r="B16" s="84"/>
      <c r="C16" s="20" t="s">
        <v>224</v>
      </c>
      <c r="D16" s="20" t="s">
        <v>225</v>
      </c>
      <c r="G16" s="76">
        <f>565.53*10%+565.63</f>
        <v>622.18299999999999</v>
      </c>
      <c r="I16" s="3" t="s">
        <v>6</v>
      </c>
      <c r="K16" s="86">
        <v>45980</v>
      </c>
      <c r="M16" s="85" t="b">
        <v>1</v>
      </c>
      <c r="N16" s="86"/>
      <c r="P16" s="85" t="b">
        <v>0</v>
      </c>
    </row>
    <row r="17" spans="1:16">
      <c r="A17" s="84"/>
      <c r="B17" s="84"/>
      <c r="C17" s="84" t="s">
        <v>28</v>
      </c>
      <c r="D17" s="20" t="s">
        <v>226</v>
      </c>
      <c r="G17" s="76">
        <f>168.87*10%+168.87</f>
        <v>185.75700000000001</v>
      </c>
      <c r="I17" s="3" t="s">
        <v>6</v>
      </c>
      <c r="K17" s="86">
        <v>45980</v>
      </c>
      <c r="M17" s="85" t="b">
        <v>1</v>
      </c>
      <c r="N17" s="86"/>
      <c r="P17" s="85" t="b">
        <v>0</v>
      </c>
    </row>
    <row r="18" spans="1:16">
      <c r="A18" s="84"/>
      <c r="B18" s="84"/>
      <c r="C18" s="20" t="s">
        <v>27</v>
      </c>
      <c r="D18" s="20" t="s">
        <v>227</v>
      </c>
      <c r="G18" s="76">
        <f>95.35*10%+95.35</f>
        <v>104.88499999999999</v>
      </c>
      <c r="I18" s="3" t="s">
        <v>6</v>
      </c>
      <c r="K18" s="86">
        <v>45980</v>
      </c>
      <c r="M18" s="85" t="b">
        <v>1</v>
      </c>
      <c r="N18" s="86"/>
      <c r="P18" s="85" t="b">
        <v>0</v>
      </c>
    </row>
    <row r="19" spans="1:16">
      <c r="A19" s="84"/>
      <c r="B19" s="84"/>
      <c r="C19" s="20" t="s">
        <v>30</v>
      </c>
      <c r="D19" s="84" t="s">
        <v>228</v>
      </c>
      <c r="G19" s="76">
        <f>274.48*10%+274.48</f>
        <v>301.928</v>
      </c>
      <c r="I19" s="3" t="s">
        <v>6</v>
      </c>
      <c r="K19" s="86">
        <v>45980</v>
      </c>
      <c r="M19" s="85" t="b">
        <v>1</v>
      </c>
      <c r="N19" s="86"/>
      <c r="P19" s="85" t="b">
        <v>0</v>
      </c>
    </row>
    <row r="20" spans="1:16">
      <c r="A20" s="84"/>
      <c r="B20" s="84"/>
      <c r="C20" s="20" t="s">
        <v>33</v>
      </c>
      <c r="D20" s="84" t="s">
        <v>229</v>
      </c>
      <c r="G20" s="76">
        <f>312.14*10%+312.14</f>
        <v>343.35399999999998</v>
      </c>
      <c r="I20" s="3" t="s">
        <v>6</v>
      </c>
      <c r="K20" s="86">
        <v>45980</v>
      </c>
      <c r="M20" s="85" t="b">
        <v>1</v>
      </c>
      <c r="N20" s="86"/>
      <c r="P20" s="85" t="b">
        <v>0</v>
      </c>
    </row>
    <row r="21" spans="1:16">
      <c r="A21" s="84"/>
      <c r="B21" s="84"/>
      <c r="C21" s="20" t="s">
        <v>230</v>
      </c>
      <c r="D21" s="20" t="s">
        <v>231</v>
      </c>
      <c r="G21" s="76">
        <f>60.5*10%+60.5</f>
        <v>66.55</v>
      </c>
      <c r="I21" s="3" t="s">
        <v>6</v>
      </c>
      <c r="K21" s="86">
        <v>45980</v>
      </c>
      <c r="M21" s="85" t="b">
        <v>1</v>
      </c>
      <c r="N21" s="86"/>
      <c r="P21" s="85" t="b">
        <v>0</v>
      </c>
    </row>
    <row r="22" spans="1:16">
      <c r="A22" s="84"/>
      <c r="B22" s="84"/>
      <c r="C22" s="20" t="s">
        <v>232</v>
      </c>
      <c r="D22" s="20" t="s">
        <v>233</v>
      </c>
      <c r="G22" s="76">
        <f>68.88*10%+68.88</f>
        <v>75.768000000000001</v>
      </c>
      <c r="I22" s="3" t="s">
        <v>6</v>
      </c>
      <c r="K22" s="86">
        <v>45980</v>
      </c>
      <c r="M22" s="85" t="b">
        <v>1</v>
      </c>
      <c r="N22" s="86"/>
      <c r="P22" s="85" t="b">
        <v>0</v>
      </c>
    </row>
    <row r="23" spans="1:16" s="113" customFormat="1">
      <c r="A23" s="112"/>
      <c r="B23" s="112"/>
      <c r="C23" s="31" t="s">
        <v>234</v>
      </c>
      <c r="D23" s="112"/>
      <c r="E23" s="93"/>
      <c r="F23" s="93"/>
      <c r="G23" s="93"/>
      <c r="K23" s="114"/>
      <c r="M23" s="115" t="b">
        <v>0</v>
      </c>
      <c r="N23" s="114"/>
      <c r="P23" s="115" t="b">
        <v>0</v>
      </c>
    </row>
    <row r="24" spans="1:16">
      <c r="A24" s="84"/>
      <c r="B24" s="84"/>
      <c r="C24" s="20" t="s">
        <v>235</v>
      </c>
      <c r="D24" s="84" t="s">
        <v>236</v>
      </c>
      <c r="G24" s="13">
        <f>195.12*10%+195.12</f>
        <v>214.63200000000001</v>
      </c>
      <c r="I24" s="3" t="s">
        <v>6</v>
      </c>
      <c r="K24" s="86">
        <v>45980</v>
      </c>
      <c r="M24" s="85" t="b">
        <v>1</v>
      </c>
      <c r="N24" s="86"/>
      <c r="P24" s="85" t="b">
        <v>0</v>
      </c>
    </row>
    <row r="25" spans="1:16">
      <c r="A25" s="84"/>
      <c r="B25" s="84"/>
      <c r="C25" s="20" t="s">
        <v>237</v>
      </c>
      <c r="D25" s="20" t="s">
        <v>238</v>
      </c>
      <c r="G25" s="13">
        <f>326.32*10%+326.32</f>
        <v>358.952</v>
      </c>
      <c r="I25" s="3" t="s">
        <v>6</v>
      </c>
      <c r="K25" s="86">
        <v>45980</v>
      </c>
      <c r="M25" s="85" t="b">
        <v>1</v>
      </c>
      <c r="N25" s="86"/>
      <c r="P25" s="85" t="b">
        <v>0</v>
      </c>
    </row>
    <row r="26" spans="1:16">
      <c r="A26" s="84"/>
      <c r="B26" s="84"/>
      <c r="C26" s="20" t="s">
        <v>36</v>
      </c>
      <c r="D26" s="84" t="s">
        <v>239</v>
      </c>
      <c r="G26" s="76">
        <f>53*10%+53</f>
        <v>58.3</v>
      </c>
      <c r="I26" s="3" t="s">
        <v>6</v>
      </c>
      <c r="K26" s="86">
        <v>45980</v>
      </c>
      <c r="M26" s="85" t="b">
        <v>1</v>
      </c>
      <c r="N26" s="86"/>
      <c r="P26" s="85" t="b">
        <v>0</v>
      </c>
    </row>
    <row r="27" spans="1:16">
      <c r="A27" s="84"/>
      <c r="B27" s="84"/>
      <c r="C27" s="20" t="s">
        <v>240</v>
      </c>
      <c r="D27" s="84" t="s">
        <v>241</v>
      </c>
      <c r="G27" s="76">
        <f>1219.82*10%+1219.82</f>
        <v>1341.8019999999999</v>
      </c>
      <c r="I27" s="3" t="s">
        <v>6</v>
      </c>
      <c r="K27" s="86">
        <v>45980</v>
      </c>
      <c r="M27" s="85" t="b">
        <v>1</v>
      </c>
      <c r="N27" s="86"/>
      <c r="P27" s="85" t="b">
        <v>0</v>
      </c>
    </row>
    <row r="28" spans="1:16">
      <c r="A28" s="84"/>
      <c r="B28" s="84"/>
      <c r="C28" s="20" t="s">
        <v>242</v>
      </c>
      <c r="D28" s="20" t="s">
        <v>243</v>
      </c>
      <c r="G28" s="76">
        <f>231.12*10%+231.12</f>
        <v>254.232</v>
      </c>
      <c r="I28" s="3" t="s">
        <v>6</v>
      </c>
      <c r="K28" s="86">
        <v>45980</v>
      </c>
      <c r="M28" s="85" t="b">
        <v>1</v>
      </c>
      <c r="N28" s="86"/>
      <c r="P28" s="85" t="b">
        <v>0</v>
      </c>
    </row>
    <row r="29" spans="1:16">
      <c r="A29" s="84"/>
      <c r="B29" s="84"/>
      <c r="C29" s="20" t="s">
        <v>244</v>
      </c>
      <c r="D29" s="104">
        <v>614000.02</v>
      </c>
      <c r="G29" s="76">
        <f>350.28*10%+350.28</f>
        <v>385.30799999999999</v>
      </c>
      <c r="I29" s="3" t="s">
        <v>6</v>
      </c>
      <c r="K29" s="86">
        <v>45980</v>
      </c>
      <c r="M29" s="85" t="b">
        <v>1</v>
      </c>
      <c r="N29" s="86"/>
      <c r="P29" s="85" t="b">
        <v>0</v>
      </c>
    </row>
    <row r="30" spans="1:16" s="113" customFormat="1">
      <c r="A30" s="112" t="s">
        <v>245</v>
      </c>
      <c r="B30" s="112"/>
      <c r="C30" s="112" t="s">
        <v>246</v>
      </c>
      <c r="D30" s="112"/>
      <c r="E30" s="93">
        <v>900</v>
      </c>
      <c r="F30" s="93"/>
      <c r="G30" s="93"/>
      <c r="K30" s="114"/>
      <c r="M30" s="115" t="b">
        <v>0</v>
      </c>
      <c r="N30" s="114"/>
      <c r="P30" s="115" t="b">
        <v>0</v>
      </c>
    </row>
    <row r="31" spans="1:16" s="113" customFormat="1">
      <c r="A31" s="112"/>
      <c r="B31" s="112"/>
      <c r="C31" s="31" t="s">
        <v>247</v>
      </c>
      <c r="D31" s="112"/>
      <c r="E31" s="93"/>
      <c r="F31" s="93"/>
      <c r="G31" s="93"/>
      <c r="I31" s="113" t="s">
        <v>248</v>
      </c>
      <c r="K31" s="114"/>
      <c r="M31" s="115" t="b">
        <v>0</v>
      </c>
      <c r="N31" s="114"/>
      <c r="P31" s="115" t="b">
        <v>0</v>
      </c>
    </row>
    <row r="32" spans="1:16" s="113" customFormat="1">
      <c r="A32" s="112"/>
      <c r="B32" s="112"/>
      <c r="C32" s="31" t="s">
        <v>249</v>
      </c>
      <c r="D32" s="112"/>
      <c r="E32" s="93"/>
      <c r="F32" s="93"/>
      <c r="G32" s="93"/>
      <c r="I32" s="113" t="s">
        <v>248</v>
      </c>
      <c r="K32" s="114"/>
      <c r="M32" s="115" t="b">
        <v>0</v>
      </c>
      <c r="N32" s="114"/>
      <c r="P32" s="115" t="b">
        <v>0</v>
      </c>
    </row>
    <row r="33" spans="1:17" s="113" customFormat="1">
      <c r="A33" s="112"/>
      <c r="B33" s="112"/>
      <c r="C33" s="31" t="s">
        <v>250</v>
      </c>
      <c r="D33" s="112"/>
      <c r="E33" s="93"/>
      <c r="F33" s="93"/>
      <c r="G33" s="93"/>
      <c r="I33" s="113" t="s">
        <v>248</v>
      </c>
      <c r="K33" s="114"/>
      <c r="M33" s="115" t="b">
        <v>0</v>
      </c>
      <c r="N33" s="114"/>
      <c r="P33" s="115" t="b">
        <v>0</v>
      </c>
    </row>
    <row r="34" spans="1:17">
      <c r="A34" s="84"/>
      <c r="B34" s="84"/>
      <c r="C34" s="84"/>
      <c r="D34" s="84"/>
      <c r="K34" s="86"/>
      <c r="M34" s="85" t="b">
        <v>0</v>
      </c>
      <c r="N34" s="86"/>
      <c r="P34" s="85" t="b">
        <v>0</v>
      </c>
      <c r="Q34" s="76"/>
    </row>
    <row r="35" spans="1:17">
      <c r="A35" s="20" t="s">
        <v>251</v>
      </c>
      <c r="B35" s="84"/>
      <c r="C35" s="20" t="s">
        <v>252</v>
      </c>
      <c r="D35" s="84"/>
      <c r="E35" s="76">
        <v>600</v>
      </c>
      <c r="G35" s="76" t="s">
        <v>253</v>
      </c>
      <c r="I35" s="74" t="s">
        <v>138</v>
      </c>
      <c r="K35" s="86">
        <v>45961</v>
      </c>
      <c r="M35" s="85" t="b">
        <v>1</v>
      </c>
      <c r="N35" s="86"/>
      <c r="P35" s="85" t="b">
        <v>0</v>
      </c>
      <c r="Q35" s="76"/>
    </row>
    <row r="36" spans="1:17">
      <c r="A36" s="20"/>
      <c r="B36" s="84"/>
      <c r="C36" s="20" t="s">
        <v>254</v>
      </c>
      <c r="D36" s="84"/>
      <c r="G36" s="76" t="s">
        <v>253</v>
      </c>
      <c r="I36" s="74" t="s">
        <v>138</v>
      </c>
      <c r="K36" s="86">
        <v>45961</v>
      </c>
      <c r="M36" s="85" t="b">
        <v>1</v>
      </c>
      <c r="N36" s="86"/>
      <c r="P36" s="85" t="b">
        <v>0</v>
      </c>
      <c r="Q36" s="76"/>
    </row>
    <row r="37" spans="1:17">
      <c r="A37" s="84"/>
      <c r="B37" s="84"/>
      <c r="C37" s="84" t="s">
        <v>255</v>
      </c>
      <c r="D37" s="84"/>
      <c r="K37" s="86"/>
      <c r="M37" s="85" t="b">
        <v>0</v>
      </c>
      <c r="N37" s="86"/>
      <c r="P37" s="85" t="b">
        <v>0</v>
      </c>
      <c r="Q37" s="76"/>
    </row>
    <row r="38" spans="1:17">
      <c r="A38" s="84"/>
      <c r="B38" s="84"/>
      <c r="C38" s="84"/>
      <c r="D38" s="84"/>
      <c r="K38" s="86"/>
      <c r="M38" s="85" t="b">
        <v>0</v>
      </c>
      <c r="N38" s="86"/>
      <c r="P38" s="85" t="b">
        <v>0</v>
      </c>
      <c r="Q38" s="76"/>
    </row>
    <row r="39" spans="1:17">
      <c r="A39" s="84" t="s">
        <v>256</v>
      </c>
      <c r="B39" s="84"/>
      <c r="C39" s="20" t="s">
        <v>257</v>
      </c>
      <c r="D39" s="84"/>
      <c r="E39" s="76">
        <v>1000</v>
      </c>
      <c r="G39" s="76" t="s">
        <v>253</v>
      </c>
      <c r="I39" s="74" t="s">
        <v>138</v>
      </c>
      <c r="K39" s="86">
        <v>45961</v>
      </c>
      <c r="M39" s="85" t="b">
        <v>1</v>
      </c>
      <c r="N39" s="86"/>
      <c r="P39" s="85" t="b">
        <v>0</v>
      </c>
    </row>
    <row r="40" spans="1:17">
      <c r="A40" s="84"/>
      <c r="B40" s="84"/>
      <c r="C40" s="20" t="s">
        <v>258</v>
      </c>
      <c r="D40" s="84"/>
      <c r="G40" s="76" t="s">
        <v>253</v>
      </c>
      <c r="I40" s="74" t="s">
        <v>138</v>
      </c>
      <c r="K40" s="86">
        <v>45961</v>
      </c>
      <c r="M40" s="85" t="b">
        <v>0</v>
      </c>
      <c r="N40" s="86"/>
      <c r="P40" s="85" t="b">
        <v>0</v>
      </c>
    </row>
    <row r="41" spans="1:17" s="113" customFormat="1">
      <c r="A41" s="112"/>
      <c r="B41" s="112"/>
      <c r="C41" s="31" t="s">
        <v>259</v>
      </c>
      <c r="D41" s="112"/>
      <c r="E41" s="93"/>
      <c r="F41" s="93"/>
      <c r="G41" s="93"/>
      <c r="K41" s="114"/>
      <c r="M41" s="115" t="b">
        <v>0</v>
      </c>
      <c r="N41" s="114"/>
      <c r="P41" s="115" t="b">
        <v>0</v>
      </c>
    </row>
    <row r="42" spans="1:17">
      <c r="A42" s="84"/>
      <c r="B42" s="84"/>
      <c r="C42" s="84" t="s">
        <v>260</v>
      </c>
      <c r="D42" s="84"/>
      <c r="G42" s="76" t="s">
        <v>261</v>
      </c>
      <c r="K42" s="86">
        <v>45982</v>
      </c>
      <c r="M42" s="85" t="b">
        <v>0</v>
      </c>
      <c r="N42" s="86"/>
      <c r="P42" s="85" t="b">
        <v>0</v>
      </c>
    </row>
    <row r="43" spans="1:17">
      <c r="A43" s="84"/>
      <c r="B43" s="84"/>
      <c r="C43" s="84"/>
      <c r="D43" s="84"/>
      <c r="K43" s="86"/>
      <c r="M43" s="85" t="b">
        <v>0</v>
      </c>
      <c r="N43" s="86"/>
      <c r="P43" s="85" t="b">
        <v>0</v>
      </c>
    </row>
    <row r="44" spans="1:17">
      <c r="A44" s="84" t="s">
        <v>262</v>
      </c>
      <c r="B44" s="84"/>
      <c r="C44" s="20" t="s">
        <v>263</v>
      </c>
      <c r="D44" s="84"/>
      <c r="E44" s="76">
        <v>2000</v>
      </c>
      <c r="G44" s="76">
        <v>4296.8100000000004</v>
      </c>
      <c r="I44" s="74" t="s">
        <v>264</v>
      </c>
      <c r="K44" s="86">
        <v>45962</v>
      </c>
      <c r="M44" s="85" t="b">
        <v>1</v>
      </c>
      <c r="N44" s="86"/>
      <c r="P44" s="85" t="b">
        <v>0</v>
      </c>
    </row>
    <row r="45" spans="1:17">
      <c r="A45" s="84"/>
      <c r="B45" s="84"/>
      <c r="C45" s="20" t="s">
        <v>265</v>
      </c>
      <c r="D45" s="84"/>
      <c r="G45" s="76">
        <v>1950</v>
      </c>
      <c r="I45" s="74" t="s">
        <v>15</v>
      </c>
      <c r="K45" s="86">
        <v>45982</v>
      </c>
      <c r="M45" s="85" t="b">
        <v>1</v>
      </c>
      <c r="N45" s="86"/>
      <c r="P45" s="85" t="b">
        <v>0</v>
      </c>
    </row>
    <row r="46" spans="1:17" s="113" customFormat="1">
      <c r="A46" s="112"/>
      <c r="B46" s="112"/>
      <c r="C46" s="112" t="s">
        <v>266</v>
      </c>
      <c r="D46" s="112"/>
      <c r="E46" s="93"/>
      <c r="F46" s="93"/>
      <c r="G46" s="93"/>
      <c r="K46" s="114"/>
      <c r="M46" s="115" t="b">
        <v>0</v>
      </c>
      <c r="N46" s="114"/>
      <c r="P46" s="115" t="b">
        <v>0</v>
      </c>
    </row>
    <row r="47" spans="1:17" s="113" customFormat="1">
      <c r="A47" s="112"/>
      <c r="B47" s="112"/>
      <c r="C47" s="112" t="s">
        <v>267</v>
      </c>
      <c r="D47" s="112"/>
      <c r="E47" s="93"/>
      <c r="F47" s="93"/>
      <c r="G47" s="93"/>
      <c r="K47" s="114"/>
      <c r="M47" s="115" t="b">
        <v>0</v>
      </c>
      <c r="N47" s="114"/>
      <c r="P47" s="115" t="b">
        <v>0</v>
      </c>
    </row>
    <row r="48" spans="1:17" s="113" customFormat="1">
      <c r="A48" s="112"/>
      <c r="B48" s="112"/>
      <c r="C48" s="112" t="s">
        <v>268</v>
      </c>
      <c r="D48" s="112"/>
      <c r="E48" s="93"/>
      <c r="F48" s="93"/>
      <c r="G48" s="93"/>
      <c r="K48" s="114"/>
      <c r="M48" s="115" t="b">
        <v>0</v>
      </c>
      <c r="N48" s="114"/>
      <c r="P48" s="115" t="b">
        <v>0</v>
      </c>
    </row>
    <row r="49" spans="1:16" s="113" customFormat="1">
      <c r="A49" s="112"/>
      <c r="B49" s="112"/>
      <c r="C49" s="112" t="s">
        <v>269</v>
      </c>
      <c r="D49" s="112"/>
      <c r="E49" s="93"/>
      <c r="F49" s="93"/>
      <c r="G49" s="93"/>
      <c r="K49" s="114"/>
      <c r="M49" s="115" t="b">
        <v>0</v>
      </c>
      <c r="N49" s="114"/>
      <c r="P49" s="115" t="b">
        <v>0</v>
      </c>
    </row>
    <row r="50" spans="1:16">
      <c r="A50" s="84"/>
      <c r="B50" s="84"/>
      <c r="C50" s="84"/>
      <c r="D50" s="84"/>
      <c r="K50" s="86"/>
      <c r="M50" s="85" t="b">
        <v>0</v>
      </c>
      <c r="N50" s="86"/>
      <c r="P50" s="85" t="b">
        <v>0</v>
      </c>
    </row>
    <row r="51" spans="1:16">
      <c r="A51" s="84" t="s">
        <v>270</v>
      </c>
      <c r="B51" s="84"/>
      <c r="C51" s="84" t="s">
        <v>271</v>
      </c>
      <c r="D51" s="84"/>
      <c r="E51" s="76">
        <v>1800</v>
      </c>
      <c r="K51" s="86"/>
      <c r="M51" s="85" t="b">
        <v>0</v>
      </c>
      <c r="N51" s="86"/>
      <c r="P51" s="85" t="b">
        <v>0</v>
      </c>
    </row>
    <row r="52" spans="1:16">
      <c r="A52" s="84"/>
      <c r="B52" s="84"/>
      <c r="C52" s="84"/>
      <c r="D52" s="84"/>
      <c r="K52" s="86"/>
      <c r="M52" s="85" t="b">
        <v>0</v>
      </c>
      <c r="N52" s="86"/>
      <c r="P52" s="85" t="b">
        <v>0</v>
      </c>
    </row>
    <row r="53" spans="1:16">
      <c r="A53" s="84"/>
      <c r="B53" s="84"/>
      <c r="C53" s="84"/>
      <c r="D53" s="84"/>
      <c r="K53" s="86"/>
      <c r="M53" s="85" t="b">
        <v>0</v>
      </c>
      <c r="N53" s="86"/>
      <c r="P53" s="85" t="b">
        <v>0</v>
      </c>
    </row>
    <row r="54" spans="1:16">
      <c r="A54" s="84"/>
      <c r="B54" s="84"/>
      <c r="C54" s="20"/>
      <c r="D54" s="20"/>
      <c r="M54" s="83"/>
      <c r="P54" s="83"/>
    </row>
    <row r="55" spans="1:16">
      <c r="A55" s="84"/>
      <c r="B55" s="84"/>
      <c r="C55" s="20"/>
      <c r="D55" s="20"/>
      <c r="M55" s="83"/>
      <c r="P55" s="83"/>
    </row>
    <row r="56" spans="1:16" ht="20.45" customHeight="1">
      <c r="A56" s="52" t="s">
        <v>272</v>
      </c>
      <c r="B56" s="84"/>
      <c r="E56" s="76">
        <v>2400</v>
      </c>
      <c r="K56" s="86"/>
      <c r="M56" s="83"/>
      <c r="N56" s="86"/>
      <c r="P56" s="85" t="b">
        <v>0</v>
      </c>
    </row>
    <row r="57" spans="1:16" ht="20.45" customHeight="1">
      <c r="A57" s="52"/>
      <c r="B57" s="84"/>
      <c r="C57" s="84" t="s">
        <v>223</v>
      </c>
      <c r="D57" s="84" t="s">
        <v>273</v>
      </c>
      <c r="G57" s="76">
        <f>114.56*10%+114.56</f>
        <v>126.01600000000001</v>
      </c>
      <c r="I57" s="3" t="s">
        <v>6</v>
      </c>
      <c r="K57" s="86">
        <v>45980</v>
      </c>
      <c r="M57" s="85" t="b">
        <v>1</v>
      </c>
      <c r="N57" s="86"/>
      <c r="P57" s="85" t="b">
        <v>0</v>
      </c>
    </row>
    <row r="58" spans="1:16">
      <c r="A58" s="84"/>
      <c r="B58" s="84"/>
      <c r="C58" s="20" t="s">
        <v>274</v>
      </c>
      <c r="D58" s="20" t="s">
        <v>275</v>
      </c>
      <c r="G58" s="76">
        <f>635.79*10%+635.79</f>
        <v>699.36899999999991</v>
      </c>
      <c r="I58" s="3" t="s">
        <v>209</v>
      </c>
      <c r="K58" s="86">
        <v>45968</v>
      </c>
      <c r="M58" s="85" t="b">
        <v>1</v>
      </c>
      <c r="N58" s="86"/>
      <c r="P58" s="85" t="b">
        <v>0</v>
      </c>
    </row>
    <row r="59" spans="1:16">
      <c r="A59" s="84"/>
      <c r="B59" s="84"/>
      <c r="C59" s="20" t="s">
        <v>276</v>
      </c>
      <c r="D59" s="20" t="s">
        <v>277</v>
      </c>
      <c r="G59" s="76">
        <f>260.76*10%+260.76</f>
        <v>286.83600000000001</v>
      </c>
      <c r="I59" s="3" t="s">
        <v>89</v>
      </c>
      <c r="K59" s="86">
        <v>45980</v>
      </c>
      <c r="M59" s="85" t="b">
        <v>1</v>
      </c>
      <c r="N59" s="86"/>
      <c r="P59" s="85" t="b">
        <v>0</v>
      </c>
    </row>
    <row r="60" spans="1:16">
      <c r="B60" s="84"/>
      <c r="C60" s="20" t="s">
        <v>278</v>
      </c>
      <c r="D60" s="20" t="s">
        <v>279</v>
      </c>
      <c r="G60" s="76">
        <f>185.61*10%+185.61</f>
        <v>204.17100000000002</v>
      </c>
      <c r="I60" s="3" t="s">
        <v>6</v>
      </c>
      <c r="K60" s="86">
        <v>45980</v>
      </c>
      <c r="M60" s="85" t="b">
        <v>1</v>
      </c>
      <c r="N60" s="86"/>
      <c r="P60" s="85" t="b">
        <v>0</v>
      </c>
    </row>
    <row r="61" spans="1:16">
      <c r="A61" s="84"/>
      <c r="B61" s="84"/>
      <c r="C61" s="20" t="s">
        <v>280</v>
      </c>
      <c r="D61" s="20" t="s">
        <v>281</v>
      </c>
      <c r="G61" s="76">
        <f>531.4*10%+531.4</f>
        <v>584.54</v>
      </c>
      <c r="I61" s="3" t="s">
        <v>6</v>
      </c>
      <c r="K61" s="86">
        <v>45980</v>
      </c>
      <c r="M61" s="85" t="b">
        <v>1</v>
      </c>
      <c r="N61" s="86"/>
      <c r="P61" s="85" t="b">
        <v>0</v>
      </c>
    </row>
    <row r="62" spans="1:16">
      <c r="A62" s="84"/>
      <c r="B62" s="84"/>
      <c r="C62" s="20" t="s">
        <v>282</v>
      </c>
      <c r="D62" s="20" t="s">
        <v>283</v>
      </c>
      <c r="G62" s="76">
        <f>131.13*10%+131.13</f>
        <v>144.24299999999999</v>
      </c>
      <c r="I62" s="3" t="s">
        <v>6</v>
      </c>
      <c r="K62" s="86">
        <v>45980</v>
      </c>
      <c r="M62" s="85" t="b">
        <v>1</v>
      </c>
      <c r="N62" s="86"/>
      <c r="P62" s="85" t="b">
        <v>0</v>
      </c>
    </row>
    <row r="63" spans="1:16">
      <c r="A63" s="84"/>
      <c r="B63" s="84"/>
      <c r="C63" s="20" t="s">
        <v>284</v>
      </c>
      <c r="D63" s="20" t="s">
        <v>285</v>
      </c>
      <c r="G63" s="76">
        <f>68.8*10%+68.8</f>
        <v>75.679999999999993</v>
      </c>
      <c r="I63" s="3" t="s">
        <v>6</v>
      </c>
      <c r="K63" s="86">
        <v>45980</v>
      </c>
      <c r="M63" s="85" t="b">
        <v>1</v>
      </c>
      <c r="N63" s="86"/>
      <c r="P63" s="85" t="b">
        <v>0</v>
      </c>
    </row>
    <row r="64" spans="1:16" s="113" customFormat="1">
      <c r="A64" s="112"/>
      <c r="B64" s="112"/>
      <c r="C64" s="112" t="s">
        <v>286</v>
      </c>
      <c r="D64" s="112"/>
      <c r="E64" s="93"/>
      <c r="F64" s="93"/>
      <c r="G64" s="93"/>
      <c r="K64" s="114"/>
      <c r="M64" s="115" t="b">
        <v>0</v>
      </c>
      <c r="N64" s="114"/>
      <c r="P64" s="115" t="b">
        <v>0</v>
      </c>
    </row>
    <row r="65" spans="1:16">
      <c r="A65" s="84"/>
      <c r="B65" s="84"/>
      <c r="C65" s="20" t="s">
        <v>287</v>
      </c>
      <c r="D65" s="20" t="s">
        <v>288</v>
      </c>
      <c r="G65" s="76">
        <f>1869.65*10%+1869.65</f>
        <v>2056.6150000000002</v>
      </c>
      <c r="I65" s="3" t="s">
        <v>6</v>
      </c>
      <c r="K65" s="86">
        <v>45980</v>
      </c>
      <c r="M65" s="85" t="b">
        <v>1</v>
      </c>
      <c r="N65" s="86"/>
      <c r="P65" s="85" t="b">
        <v>0</v>
      </c>
    </row>
    <row r="66" spans="1:16">
      <c r="C66" s="74" t="s">
        <v>289</v>
      </c>
      <c r="D66" s="74" t="s">
        <v>290</v>
      </c>
      <c r="G66" s="76">
        <f>197.01*10%+197.01</f>
        <v>216.71099999999998</v>
      </c>
      <c r="I66" s="74" t="s">
        <v>6</v>
      </c>
      <c r="K66" s="86">
        <v>45980</v>
      </c>
      <c r="M66" s="85" t="b">
        <v>1</v>
      </c>
      <c r="N66" s="86"/>
      <c r="P66" s="85" t="b">
        <v>0</v>
      </c>
    </row>
    <row r="67" spans="1:16">
      <c r="A67" s="84"/>
      <c r="B67" s="84"/>
      <c r="C67" s="20" t="s">
        <v>291</v>
      </c>
      <c r="D67" s="84" t="s">
        <v>292</v>
      </c>
      <c r="G67" s="76">
        <f>2710*8.5%+2710</f>
        <v>2940.35</v>
      </c>
      <c r="I67" s="74" t="s">
        <v>209</v>
      </c>
      <c r="K67" s="86">
        <v>45968</v>
      </c>
      <c r="M67" s="85" t="b">
        <v>1</v>
      </c>
      <c r="P67" s="85" t="b">
        <v>0</v>
      </c>
    </row>
    <row r="68" spans="1:16">
      <c r="A68" s="84"/>
      <c r="B68" s="84"/>
      <c r="C68" s="20" t="s">
        <v>293</v>
      </c>
      <c r="D68" s="84" t="s">
        <v>294</v>
      </c>
      <c r="G68" s="76">
        <f>163.22*8.5%+163.22</f>
        <v>177.09370000000001</v>
      </c>
      <c r="I68" s="74" t="s">
        <v>209</v>
      </c>
      <c r="K68" s="86">
        <v>45968</v>
      </c>
      <c r="M68" s="85" t="b">
        <v>1</v>
      </c>
      <c r="P68" s="85" t="b">
        <v>0</v>
      </c>
    </row>
    <row r="69" spans="1:16">
      <c r="A69" s="84"/>
      <c r="B69" s="84"/>
      <c r="C69" s="20" t="s">
        <v>295</v>
      </c>
      <c r="D69" s="84" t="s">
        <v>144</v>
      </c>
      <c r="G69" s="76">
        <f>217.8*10%+217.8</f>
        <v>239.58</v>
      </c>
      <c r="I69" s="74" t="s">
        <v>6</v>
      </c>
      <c r="K69" s="86">
        <v>45980</v>
      </c>
      <c r="M69" s="85" t="b">
        <v>1</v>
      </c>
      <c r="P69" s="85" t="b">
        <v>0</v>
      </c>
    </row>
    <row r="70" spans="1:16">
      <c r="A70" s="84"/>
      <c r="B70" s="84"/>
      <c r="C70" s="20" t="s">
        <v>296</v>
      </c>
      <c r="D70" s="20" t="s">
        <v>297</v>
      </c>
      <c r="G70" s="93">
        <f>1369.16*8.5%+1369.16</f>
        <v>1485.5386000000001</v>
      </c>
      <c r="I70" s="3" t="s">
        <v>209</v>
      </c>
      <c r="K70" s="86">
        <v>45968</v>
      </c>
      <c r="M70" s="85" t="b">
        <v>1</v>
      </c>
      <c r="P70" s="85" t="b">
        <v>0</v>
      </c>
    </row>
    <row r="71" spans="1:16">
      <c r="A71" s="84"/>
      <c r="B71" s="84"/>
      <c r="C71" s="20" t="s">
        <v>296</v>
      </c>
      <c r="D71" s="20" t="s">
        <v>297</v>
      </c>
      <c r="G71" s="76">
        <v>892.68</v>
      </c>
      <c r="I71" s="3" t="s">
        <v>298</v>
      </c>
      <c r="K71" s="86">
        <v>46014</v>
      </c>
      <c r="M71" s="85" t="b">
        <v>1</v>
      </c>
      <c r="P71" s="85" t="b">
        <v>0</v>
      </c>
    </row>
    <row r="72" spans="1:16" ht="13.9" customHeight="1">
      <c r="A72" s="84"/>
      <c r="B72" s="84"/>
      <c r="C72" s="84" t="s">
        <v>235</v>
      </c>
      <c r="D72" s="84" t="s">
        <v>299</v>
      </c>
      <c r="G72" s="76">
        <f>195.16*10%+195.16</f>
        <v>214.67599999999999</v>
      </c>
      <c r="I72" s="74" t="s">
        <v>6</v>
      </c>
      <c r="K72" s="86">
        <v>45980</v>
      </c>
      <c r="M72" s="85" t="b">
        <v>1</v>
      </c>
      <c r="N72" s="86"/>
      <c r="P72" s="85" t="b">
        <v>0</v>
      </c>
    </row>
    <row r="73" spans="1:16">
      <c r="A73" s="84"/>
      <c r="B73" s="84"/>
      <c r="C73" s="84" t="s">
        <v>300</v>
      </c>
      <c r="D73" s="84" t="s">
        <v>238</v>
      </c>
      <c r="G73" s="76">
        <f>326.32*10%+326.32</f>
        <v>358.952</v>
      </c>
      <c r="I73" s="74" t="s">
        <v>6</v>
      </c>
      <c r="K73" s="86">
        <v>45980</v>
      </c>
      <c r="M73" s="85" t="b">
        <v>1</v>
      </c>
      <c r="P73" s="85" t="b">
        <v>0</v>
      </c>
    </row>
    <row r="74" spans="1:16">
      <c r="A74" s="84"/>
      <c r="B74" s="84"/>
      <c r="C74" s="84" t="s">
        <v>36</v>
      </c>
      <c r="D74" s="84" t="s">
        <v>239</v>
      </c>
      <c r="G74" s="76">
        <f>53*10%+53</f>
        <v>58.3</v>
      </c>
      <c r="I74" s="74" t="s">
        <v>6</v>
      </c>
      <c r="K74" s="86">
        <v>45980</v>
      </c>
      <c r="M74" s="85" t="b">
        <v>1</v>
      </c>
      <c r="P74" s="85" t="b">
        <v>0</v>
      </c>
    </row>
    <row r="75" spans="1:16">
      <c r="A75" s="84"/>
      <c r="B75" s="84"/>
      <c r="C75" s="84"/>
      <c r="D75" s="84"/>
      <c r="K75" s="86"/>
      <c r="M75" s="85" t="b">
        <v>0</v>
      </c>
      <c r="P75" s="85" t="b">
        <v>0</v>
      </c>
    </row>
    <row r="76" spans="1:16">
      <c r="A76" s="20" t="s">
        <v>301</v>
      </c>
      <c r="B76" s="84"/>
      <c r="C76" s="20" t="s">
        <v>302</v>
      </c>
      <c r="D76" s="84"/>
      <c r="E76" s="76">
        <v>1500</v>
      </c>
      <c r="I76" s="74" t="s">
        <v>48</v>
      </c>
      <c r="K76" s="86"/>
      <c r="M76" s="85" t="b">
        <v>0</v>
      </c>
      <c r="P76" s="85" t="b">
        <v>0</v>
      </c>
    </row>
    <row r="77" spans="1:16" s="113" customFormat="1">
      <c r="A77" s="112"/>
      <c r="B77" s="112"/>
      <c r="C77" s="31" t="s">
        <v>303</v>
      </c>
      <c r="D77" s="112"/>
      <c r="E77" s="93"/>
      <c r="F77" s="93"/>
      <c r="G77" s="93"/>
      <c r="K77" s="114"/>
      <c r="M77" s="115" t="b">
        <v>0</v>
      </c>
      <c r="P77" s="115" t="b">
        <v>0</v>
      </c>
    </row>
    <row r="78" spans="1:16" s="113" customFormat="1">
      <c r="A78" s="112"/>
      <c r="B78" s="112"/>
      <c r="C78" s="31" t="s">
        <v>304</v>
      </c>
      <c r="D78" s="112"/>
      <c r="E78" s="93"/>
      <c r="F78" s="93"/>
      <c r="G78" s="93"/>
      <c r="K78" s="114"/>
      <c r="M78" s="115" t="b">
        <v>0</v>
      </c>
      <c r="P78" s="115" t="b">
        <v>0</v>
      </c>
    </row>
    <row r="79" spans="1:16">
      <c r="A79" s="84"/>
      <c r="B79" s="84"/>
      <c r="C79" s="20" t="s">
        <v>305</v>
      </c>
      <c r="D79" s="84"/>
      <c r="I79" s="74" t="s">
        <v>48</v>
      </c>
      <c r="K79" s="86"/>
      <c r="M79" s="85" t="b">
        <v>0</v>
      </c>
      <c r="P79" s="85" t="b">
        <v>0</v>
      </c>
    </row>
    <row r="80" spans="1:16">
      <c r="A80" s="84"/>
      <c r="B80" s="84"/>
      <c r="C80" s="20" t="s">
        <v>306</v>
      </c>
      <c r="D80" s="84"/>
      <c r="I80" s="74" t="s">
        <v>48</v>
      </c>
      <c r="K80" s="86"/>
      <c r="M80" s="85" t="b">
        <v>0</v>
      </c>
      <c r="P80" s="85" t="b">
        <v>0</v>
      </c>
    </row>
    <row r="81" spans="1:16">
      <c r="A81" s="84"/>
      <c r="B81" s="84"/>
      <c r="C81" s="20" t="s">
        <v>307</v>
      </c>
      <c r="D81" s="84"/>
      <c r="I81" s="74" t="s">
        <v>308</v>
      </c>
      <c r="K81" s="86"/>
      <c r="M81" s="85" t="b">
        <v>0</v>
      </c>
      <c r="P81" s="85" t="b">
        <v>0</v>
      </c>
    </row>
    <row r="82" spans="1:16">
      <c r="A82" s="84"/>
      <c r="B82" s="84"/>
      <c r="C82" s="84"/>
      <c r="D82" s="84"/>
      <c r="M82" s="83"/>
      <c r="P82" s="83"/>
    </row>
    <row r="83" spans="1:16">
      <c r="A83" s="20" t="s">
        <v>309</v>
      </c>
      <c r="B83" s="84"/>
      <c r="C83" s="20" t="s">
        <v>310</v>
      </c>
      <c r="D83" s="84"/>
      <c r="E83" s="76">
        <v>2200</v>
      </c>
      <c r="G83" s="76" t="s">
        <v>311</v>
      </c>
      <c r="I83" s="86">
        <v>45961</v>
      </c>
      <c r="K83" s="86"/>
      <c r="M83" s="85" t="b">
        <v>1</v>
      </c>
      <c r="N83" s="86"/>
      <c r="P83" s="85" t="b">
        <v>0</v>
      </c>
    </row>
    <row r="84" spans="1:16">
      <c r="A84" s="20" t="s">
        <v>312</v>
      </c>
      <c r="B84" s="84"/>
      <c r="C84" s="20" t="s">
        <v>313</v>
      </c>
      <c r="D84" s="84"/>
      <c r="E84" s="76">
        <v>400</v>
      </c>
      <c r="G84" s="76" t="s">
        <v>311</v>
      </c>
      <c r="I84" s="86">
        <v>45961</v>
      </c>
      <c r="K84" s="86"/>
      <c r="M84" s="85" t="b">
        <v>1</v>
      </c>
      <c r="N84" s="86"/>
      <c r="P84" s="85" t="b">
        <v>0</v>
      </c>
    </row>
    <row r="85" spans="1:16">
      <c r="A85" s="84" t="s">
        <v>314</v>
      </c>
      <c r="B85" s="84"/>
      <c r="C85" s="20" t="s">
        <v>315</v>
      </c>
      <c r="D85" s="84"/>
      <c r="E85" s="76">
        <v>2200</v>
      </c>
      <c r="G85" s="76" t="s">
        <v>311</v>
      </c>
      <c r="I85" s="86">
        <v>45961</v>
      </c>
      <c r="K85" s="86"/>
      <c r="M85" s="85" t="b">
        <v>1</v>
      </c>
      <c r="N85" s="86"/>
      <c r="P85" s="85" t="b">
        <v>0</v>
      </c>
    </row>
    <row r="86" spans="1:16">
      <c r="A86" s="84"/>
      <c r="B86" s="84"/>
      <c r="C86" s="20" t="s">
        <v>316</v>
      </c>
      <c r="D86" s="84"/>
      <c r="G86" s="76" t="s">
        <v>311</v>
      </c>
      <c r="I86" s="86">
        <v>45961</v>
      </c>
      <c r="K86" s="86"/>
      <c r="M86" s="85" t="b">
        <v>1</v>
      </c>
      <c r="N86" s="86"/>
      <c r="P86" s="85" t="b">
        <v>0</v>
      </c>
    </row>
    <row r="87" spans="1:16" s="113" customFormat="1">
      <c r="A87" s="112"/>
      <c r="B87" s="112"/>
      <c r="C87" s="112" t="s">
        <v>255</v>
      </c>
      <c r="D87" s="112"/>
      <c r="E87" s="93"/>
      <c r="F87" s="93"/>
      <c r="G87" s="93"/>
      <c r="K87" s="114"/>
      <c r="M87" s="115" t="b">
        <v>0</v>
      </c>
      <c r="N87" s="114"/>
      <c r="P87" s="115" t="b">
        <v>0</v>
      </c>
    </row>
    <row r="88" spans="1:16">
      <c r="A88" s="84"/>
      <c r="B88" s="84"/>
      <c r="C88" s="84" t="s">
        <v>260</v>
      </c>
      <c r="D88" s="84"/>
      <c r="G88" s="76" t="s">
        <v>317</v>
      </c>
      <c r="K88" s="86"/>
      <c r="M88" s="85" t="b">
        <v>0</v>
      </c>
      <c r="N88" s="86"/>
      <c r="P88" s="85" t="b">
        <v>0</v>
      </c>
    </row>
    <row r="89" spans="1:16">
      <c r="A89" s="84"/>
      <c r="B89" s="84"/>
      <c r="C89" s="84"/>
      <c r="D89" s="84"/>
      <c r="K89" s="86"/>
      <c r="M89" s="85" t="b">
        <v>0</v>
      </c>
      <c r="N89" s="86"/>
      <c r="P89" s="85" t="b">
        <v>0</v>
      </c>
    </row>
    <row r="90" spans="1:16">
      <c r="A90" s="84"/>
      <c r="B90" s="84"/>
      <c r="C90" s="84"/>
      <c r="D90" s="84"/>
      <c r="K90" s="86"/>
      <c r="M90" s="85" t="b">
        <v>0</v>
      </c>
      <c r="N90" s="86"/>
      <c r="P90" s="85" t="b">
        <v>0</v>
      </c>
    </row>
    <row r="91" spans="1:16">
      <c r="A91" s="84" t="s">
        <v>262</v>
      </c>
      <c r="B91" s="84"/>
      <c r="C91" s="20" t="s">
        <v>318</v>
      </c>
      <c r="D91" s="84"/>
      <c r="E91" s="76">
        <v>3200</v>
      </c>
      <c r="G91" s="76">
        <v>9482.7099999999991</v>
      </c>
      <c r="I91" s="74" t="s">
        <v>319</v>
      </c>
      <c r="K91" s="86">
        <v>45962</v>
      </c>
      <c r="M91" s="85" t="b">
        <v>1</v>
      </c>
      <c r="N91" s="86"/>
      <c r="P91" s="85" t="b">
        <v>0</v>
      </c>
    </row>
    <row r="92" spans="1:16">
      <c r="A92" s="84"/>
      <c r="B92" s="84"/>
      <c r="C92" s="84" t="s">
        <v>173</v>
      </c>
      <c r="D92" s="84"/>
      <c r="G92" s="76">
        <v>2960</v>
      </c>
      <c r="I92" s="74" t="s">
        <v>15</v>
      </c>
      <c r="K92" s="86">
        <v>45982</v>
      </c>
      <c r="M92" s="85" t="b">
        <v>1</v>
      </c>
      <c r="N92" s="86"/>
      <c r="P92" s="85" t="b">
        <v>0</v>
      </c>
    </row>
    <row r="93" spans="1:16" s="113" customFormat="1">
      <c r="A93" s="112"/>
      <c r="B93" s="112"/>
      <c r="C93" s="112" t="s">
        <v>266</v>
      </c>
      <c r="D93" s="112"/>
      <c r="E93" s="93"/>
      <c r="F93" s="93"/>
      <c r="G93" s="93"/>
      <c r="K93" s="114"/>
      <c r="M93" s="115" t="b">
        <v>0</v>
      </c>
      <c r="N93" s="114"/>
      <c r="P93" s="115" t="b">
        <v>0</v>
      </c>
    </row>
    <row r="94" spans="1:16" s="113" customFormat="1">
      <c r="A94" s="112"/>
      <c r="B94" s="112"/>
      <c r="C94" s="112" t="s">
        <v>267</v>
      </c>
      <c r="D94" s="112"/>
      <c r="E94" s="93"/>
      <c r="F94" s="93"/>
      <c r="G94" s="93"/>
      <c r="K94" s="114"/>
      <c r="M94" s="115" t="b">
        <v>0</v>
      </c>
      <c r="N94" s="114"/>
      <c r="P94" s="115" t="b">
        <v>0</v>
      </c>
    </row>
    <row r="95" spans="1:16" s="113" customFormat="1">
      <c r="A95" s="112"/>
      <c r="B95" s="112"/>
      <c r="C95" s="112" t="s">
        <v>269</v>
      </c>
      <c r="D95" s="112"/>
      <c r="E95" s="93"/>
      <c r="F95" s="93"/>
      <c r="G95" s="93"/>
      <c r="K95" s="114"/>
      <c r="M95" s="115" t="b">
        <v>0</v>
      </c>
      <c r="N95" s="114"/>
      <c r="P95" s="115" t="b">
        <v>0</v>
      </c>
    </row>
    <row r="96" spans="1:16">
      <c r="B96" s="83"/>
      <c r="M96" s="83"/>
      <c r="P96" s="83"/>
    </row>
    <row r="97" spans="1:16">
      <c r="A97" s="3" t="s">
        <v>320</v>
      </c>
      <c r="B97" s="83"/>
      <c r="C97" s="3" t="s">
        <v>321</v>
      </c>
      <c r="E97" s="76">
        <v>3200</v>
      </c>
      <c r="M97" s="83"/>
      <c r="P97" s="83"/>
    </row>
    <row r="98" spans="1:16">
      <c r="B98" s="83"/>
      <c r="M98" s="83"/>
      <c r="P98" s="83"/>
    </row>
    <row r="99" spans="1:16">
      <c r="B99" s="83"/>
      <c r="M99" s="83"/>
      <c r="P99" s="83"/>
    </row>
    <row r="100" spans="1:16" s="75" customFormat="1">
      <c r="B100" s="77"/>
      <c r="C100" s="75" t="s">
        <v>322</v>
      </c>
      <c r="E100" s="78"/>
      <c r="F100" s="78"/>
      <c r="G100" s="78">
        <f>9907.54-1969.65</f>
        <v>7937.8900000000012</v>
      </c>
      <c r="I100" s="75" t="s">
        <v>138</v>
      </c>
      <c r="K100" s="99">
        <v>45961</v>
      </c>
      <c r="M100" s="91"/>
      <c r="P100" s="91"/>
    </row>
    <row r="101" spans="1:16" s="75" customFormat="1">
      <c r="B101" s="83"/>
      <c r="C101" s="74"/>
      <c r="D101" s="74"/>
      <c r="E101" s="78"/>
      <c r="F101" s="78"/>
      <c r="G101" s="78"/>
      <c r="M101" s="77"/>
      <c r="P101" s="77"/>
    </row>
    <row r="102" spans="1:16">
      <c r="A102" s="52" t="s">
        <v>323</v>
      </c>
      <c r="B102" s="84"/>
      <c r="C102" s="84"/>
      <c r="D102" s="84"/>
      <c r="K102" s="86"/>
      <c r="M102" s="83"/>
      <c r="N102" s="86"/>
      <c r="P102" s="83"/>
    </row>
    <row r="103" spans="1:16">
      <c r="A103" s="84"/>
      <c r="B103" s="84"/>
      <c r="C103" s="84"/>
      <c r="D103" s="84"/>
      <c r="K103" s="86"/>
      <c r="M103" s="83"/>
      <c r="N103" s="86"/>
      <c r="P103" s="83"/>
    </row>
    <row r="104" spans="1:16">
      <c r="A104" s="20" t="s">
        <v>324</v>
      </c>
      <c r="B104" s="84"/>
      <c r="C104" s="20" t="s">
        <v>325</v>
      </c>
      <c r="D104" s="84"/>
      <c r="E104" s="76">
        <v>300</v>
      </c>
      <c r="K104" s="86"/>
      <c r="M104" s="85" t="b">
        <v>0</v>
      </c>
      <c r="N104" s="86"/>
      <c r="P104" s="85" t="b">
        <v>0</v>
      </c>
    </row>
    <row r="105" spans="1:16">
      <c r="A105" s="84" t="s">
        <v>270</v>
      </c>
      <c r="B105" s="84"/>
      <c r="C105" s="20" t="s">
        <v>326</v>
      </c>
      <c r="D105" s="84"/>
      <c r="E105" s="76">
        <v>2400</v>
      </c>
      <c r="K105" s="86"/>
      <c r="M105" s="85" t="b">
        <v>0</v>
      </c>
      <c r="N105" s="86"/>
      <c r="P105" s="85" t="b">
        <v>0</v>
      </c>
    </row>
    <row r="106" spans="1:16">
      <c r="A106" s="84"/>
      <c r="B106" s="84"/>
      <c r="C106" s="20"/>
      <c r="D106" s="84"/>
      <c r="K106" s="86"/>
      <c r="M106" s="83"/>
      <c r="N106" s="86"/>
      <c r="P106" s="83"/>
    </row>
    <row r="107" spans="1:16">
      <c r="A107" s="20" t="s">
        <v>327</v>
      </c>
      <c r="B107" s="84"/>
      <c r="C107" s="20"/>
      <c r="D107" s="84"/>
      <c r="E107" s="76">
        <v>4500</v>
      </c>
      <c r="K107" s="86"/>
      <c r="M107" s="85" t="b">
        <v>0</v>
      </c>
      <c r="N107" s="86"/>
      <c r="P107" s="85" t="b">
        <v>0</v>
      </c>
    </row>
    <row r="108" spans="1:16">
      <c r="B108" s="84"/>
      <c r="C108" s="20" t="s">
        <v>328</v>
      </c>
      <c r="D108" s="20" t="s">
        <v>329</v>
      </c>
      <c r="G108" s="76">
        <f>380.21*10%+380.21</f>
        <v>418.23099999999999</v>
      </c>
      <c r="I108" s="74" t="s">
        <v>6</v>
      </c>
      <c r="K108" s="86">
        <v>45980</v>
      </c>
      <c r="M108" s="85" t="b">
        <v>1</v>
      </c>
      <c r="N108" s="86"/>
      <c r="P108" s="85" t="b">
        <v>0</v>
      </c>
    </row>
    <row r="109" spans="1:16">
      <c r="A109" s="20"/>
      <c r="B109" s="84"/>
      <c r="C109" s="20" t="s">
        <v>26</v>
      </c>
      <c r="D109" s="20" t="s">
        <v>330</v>
      </c>
      <c r="G109" s="76">
        <f>339.11*10%+339.11</f>
        <v>373.02100000000002</v>
      </c>
      <c r="I109" s="74" t="s">
        <v>6</v>
      </c>
      <c r="K109" s="86">
        <v>45980</v>
      </c>
      <c r="M109" s="85" t="b">
        <v>1</v>
      </c>
      <c r="N109" s="86"/>
      <c r="P109" s="85" t="b">
        <v>0</v>
      </c>
    </row>
    <row r="110" spans="1:16">
      <c r="A110" s="20"/>
      <c r="B110" s="84"/>
      <c r="C110" s="20" t="s">
        <v>27</v>
      </c>
      <c r="D110" s="20" t="s">
        <v>331</v>
      </c>
      <c r="G110" s="76">
        <f>47.34*10%+47.34</f>
        <v>52.074000000000005</v>
      </c>
      <c r="I110" s="74" t="s">
        <v>6</v>
      </c>
      <c r="K110" s="86">
        <v>45980</v>
      </c>
      <c r="M110" s="85" t="b">
        <v>1</v>
      </c>
      <c r="N110" s="86"/>
      <c r="P110" s="85" t="b">
        <v>0</v>
      </c>
    </row>
    <row r="111" spans="1:16">
      <c r="A111" s="84"/>
      <c r="B111" s="84"/>
      <c r="C111" s="20" t="s">
        <v>28</v>
      </c>
      <c r="D111" s="20" t="s">
        <v>332</v>
      </c>
      <c r="G111" s="76">
        <f>280.54*10%+280.54</f>
        <v>308.59400000000005</v>
      </c>
      <c r="I111" s="74" t="s">
        <v>6</v>
      </c>
      <c r="K111" s="86">
        <v>45980</v>
      </c>
      <c r="M111" s="85" t="b">
        <v>1</v>
      </c>
      <c r="N111" s="86"/>
      <c r="P111" s="85" t="b">
        <v>0</v>
      </c>
    </row>
    <row r="112" spans="1:16">
      <c r="A112" s="84"/>
      <c r="B112" s="84"/>
      <c r="C112" s="20" t="s">
        <v>29</v>
      </c>
      <c r="D112" s="20" t="s">
        <v>333</v>
      </c>
      <c r="G112" s="76">
        <f>96.85*10%+96.85</f>
        <v>106.535</v>
      </c>
      <c r="I112" s="74" t="s">
        <v>6</v>
      </c>
      <c r="K112" s="86">
        <v>45980</v>
      </c>
      <c r="M112" s="85" t="b">
        <v>1</v>
      </c>
      <c r="N112" s="86"/>
      <c r="P112" s="85" t="b">
        <v>0</v>
      </c>
    </row>
    <row r="113" spans="1:17">
      <c r="A113" s="84"/>
      <c r="B113" s="84"/>
      <c r="C113" s="20" t="s">
        <v>30</v>
      </c>
      <c r="D113" s="20" t="s">
        <v>334</v>
      </c>
      <c r="G113" s="76">
        <f>246.22*10%+246.22</f>
        <v>270.84199999999998</v>
      </c>
      <c r="I113" s="74" t="s">
        <v>6</v>
      </c>
      <c r="K113" s="86">
        <v>45980</v>
      </c>
      <c r="M113" s="85" t="b">
        <v>1</v>
      </c>
      <c r="N113" s="86"/>
      <c r="P113" s="85" t="b">
        <v>0</v>
      </c>
    </row>
    <row r="114" spans="1:17">
      <c r="A114" s="84"/>
      <c r="B114" s="84"/>
      <c r="C114" s="20" t="s">
        <v>335</v>
      </c>
      <c r="D114" s="20" t="s">
        <v>336</v>
      </c>
      <c r="G114" s="76">
        <f>59.58*10%+59.58</f>
        <v>65.537999999999997</v>
      </c>
      <c r="I114" s="74" t="s">
        <v>6</v>
      </c>
      <c r="K114" s="86">
        <v>45980</v>
      </c>
      <c r="M114" s="85" t="b">
        <v>1</v>
      </c>
      <c r="N114" s="86"/>
      <c r="P114" s="85" t="b">
        <v>0</v>
      </c>
    </row>
    <row r="115" spans="1:17">
      <c r="A115" s="84"/>
      <c r="B115" s="84"/>
      <c r="C115" s="20" t="s">
        <v>32</v>
      </c>
      <c r="D115" s="20" t="s">
        <v>337</v>
      </c>
      <c r="G115" s="76">
        <f>68.88*10%+68.88</f>
        <v>75.768000000000001</v>
      </c>
      <c r="I115" s="74" t="s">
        <v>6</v>
      </c>
      <c r="K115" s="86">
        <v>45980</v>
      </c>
      <c r="M115" s="85" t="b">
        <v>1</v>
      </c>
      <c r="N115" s="86"/>
      <c r="P115" s="85" t="b">
        <v>0</v>
      </c>
    </row>
    <row r="116" spans="1:17">
      <c r="A116" s="84"/>
      <c r="B116" s="84"/>
      <c r="C116" s="20" t="s">
        <v>33</v>
      </c>
      <c r="D116" s="20" t="s">
        <v>338</v>
      </c>
      <c r="G116" s="76">
        <f>307.52*10%+307.52</f>
        <v>338.27199999999999</v>
      </c>
      <c r="I116" s="74" t="s">
        <v>6</v>
      </c>
      <c r="K116" s="86">
        <v>45980</v>
      </c>
      <c r="M116" s="85" t="b">
        <v>1</v>
      </c>
      <c r="N116" s="86"/>
      <c r="P116" s="85" t="b">
        <v>0</v>
      </c>
    </row>
    <row r="117" spans="1:17">
      <c r="A117" s="84"/>
      <c r="B117" s="84"/>
      <c r="C117" s="20" t="s">
        <v>34</v>
      </c>
      <c r="D117" s="20" t="s">
        <v>339</v>
      </c>
      <c r="G117" s="76">
        <f>48.3*10%+48.3</f>
        <v>53.129999999999995</v>
      </c>
      <c r="I117" s="74" t="s">
        <v>6</v>
      </c>
      <c r="K117" s="86">
        <v>45980</v>
      </c>
      <c r="M117" s="85" t="b">
        <v>1</v>
      </c>
      <c r="N117" s="86"/>
      <c r="P117" s="85" t="b">
        <v>0</v>
      </c>
    </row>
    <row r="118" spans="1:17" s="75" customFormat="1">
      <c r="B118" s="83"/>
      <c r="C118" s="74"/>
      <c r="D118" s="74"/>
      <c r="E118" s="78"/>
      <c r="F118" s="78"/>
      <c r="G118" s="78"/>
      <c r="M118" s="77"/>
      <c r="P118" s="77"/>
    </row>
    <row r="119" spans="1:17">
      <c r="A119" s="84"/>
      <c r="B119" s="84"/>
      <c r="C119" s="84" t="s">
        <v>340</v>
      </c>
      <c r="D119" s="84"/>
      <c r="G119" s="76" t="s">
        <v>341</v>
      </c>
      <c r="I119" s="74" t="s">
        <v>138</v>
      </c>
      <c r="K119" s="86">
        <v>45961</v>
      </c>
      <c r="M119" s="85" t="b">
        <v>1</v>
      </c>
      <c r="N119" s="86"/>
      <c r="P119" s="85" t="b">
        <v>0</v>
      </c>
    </row>
    <row r="120" spans="1:17">
      <c r="B120" s="83"/>
      <c r="C120" s="74" t="s">
        <v>342</v>
      </c>
      <c r="G120" s="76" t="s">
        <v>341</v>
      </c>
      <c r="I120" s="74" t="s">
        <v>138</v>
      </c>
      <c r="K120" s="86">
        <v>45961</v>
      </c>
      <c r="M120" s="85" t="b">
        <v>1</v>
      </c>
      <c r="N120" s="86"/>
      <c r="P120" s="85" t="b">
        <v>0</v>
      </c>
    </row>
    <row r="121" spans="1:17">
      <c r="B121" s="83"/>
      <c r="M121" s="83"/>
      <c r="P121" s="83"/>
    </row>
    <row r="122" spans="1:17">
      <c r="B122" s="83"/>
      <c r="M122" s="83"/>
      <c r="P122" s="83"/>
    </row>
    <row r="123" spans="1:17" s="5" customFormat="1">
      <c r="B123" s="4"/>
      <c r="C123" s="5" t="s">
        <v>108</v>
      </c>
      <c r="E123" s="11">
        <f>SUM(E6:E122)</f>
        <v>30000</v>
      </c>
      <c r="F123" s="11"/>
      <c r="G123" s="11">
        <f>SUM(G3:G122)</f>
        <v>43963.352299999991</v>
      </c>
      <c r="M123" s="4"/>
      <c r="P123" s="4"/>
    </row>
    <row r="124" spans="1:17">
      <c r="B124" s="83"/>
      <c r="M124" s="83"/>
      <c r="P124" s="83"/>
    </row>
    <row r="125" spans="1:17" s="5" customFormat="1">
      <c r="A125" s="5" t="s">
        <v>343</v>
      </c>
      <c r="B125" s="4"/>
      <c r="E125" s="11"/>
      <c r="F125" s="11"/>
      <c r="G125" s="11"/>
      <c r="M125" s="4"/>
      <c r="P125" s="4"/>
    </row>
    <row r="126" spans="1:17">
      <c r="A126" s="3"/>
      <c r="B126" s="83"/>
      <c r="C126" s="3" t="s">
        <v>344</v>
      </c>
      <c r="M126" s="83"/>
      <c r="P126" s="83"/>
      <c r="Q126" s="74">
        <v>266.48</v>
      </c>
    </row>
    <row r="127" spans="1:17">
      <c r="A127" s="3"/>
      <c r="B127" s="83"/>
      <c r="C127" s="3" t="s">
        <v>345</v>
      </c>
      <c r="M127" s="83"/>
      <c r="P127" s="83"/>
      <c r="Q127" s="74">
        <v>164.02</v>
      </c>
    </row>
    <row r="128" spans="1:17">
      <c r="A128" s="3"/>
      <c r="B128" s="83"/>
      <c r="C128" s="3" t="s">
        <v>346</v>
      </c>
      <c r="M128" s="83"/>
      <c r="P128" s="83"/>
    </row>
    <row r="129" spans="1:17">
      <c r="A129" s="3"/>
      <c r="B129" s="83"/>
      <c r="C129" s="3"/>
      <c r="M129" s="83"/>
      <c r="P129" s="83"/>
    </row>
    <row r="130" spans="1:17" s="5" customFormat="1">
      <c r="A130" s="5" t="s">
        <v>347</v>
      </c>
      <c r="B130" s="4"/>
      <c r="E130" s="11"/>
      <c r="F130" s="11"/>
      <c r="G130" s="11"/>
      <c r="M130" s="4"/>
      <c r="P130" s="4"/>
    </row>
    <row r="131" spans="1:17">
      <c r="B131" s="83"/>
      <c r="C131" s="3" t="s">
        <v>348</v>
      </c>
      <c r="M131" s="83"/>
      <c r="P131" s="83"/>
      <c r="Q131" s="74">
        <v>1790.59</v>
      </c>
    </row>
    <row r="132" spans="1:17">
      <c r="B132" s="83"/>
      <c r="C132" s="74" t="s">
        <v>349</v>
      </c>
      <c r="M132" s="83"/>
      <c r="P132" s="83"/>
    </row>
    <row r="133" spans="1:17">
      <c r="M133" s="83"/>
      <c r="P133" s="83"/>
      <c r="Q133" s="74">
        <f>SUM(Q4:Q132)</f>
        <v>2221.09</v>
      </c>
    </row>
    <row r="134" spans="1:17" s="5" customFormat="1">
      <c r="A134" s="5" t="s">
        <v>350</v>
      </c>
      <c r="E134" s="11"/>
      <c r="F134" s="11"/>
      <c r="G134" s="11"/>
      <c r="M134" s="4"/>
      <c r="P134" s="4"/>
    </row>
    <row r="135" spans="1:17">
      <c r="M135" s="83"/>
      <c r="P135" s="83"/>
    </row>
    <row r="136" spans="1:17" s="5" customFormat="1">
      <c r="A136" s="5" t="s">
        <v>351</v>
      </c>
      <c r="E136" s="11"/>
      <c r="F136" s="11"/>
      <c r="G136" s="11"/>
    </row>
  </sheetData>
  <pageMargins left="0.7" right="0.7" top="0.75" bottom="0.75" header="0.3" footer="0.3"/>
  <pageSetup orientation="portrait" horizontalDpi="203" verticalDpi="20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4B93-C238-4F90-8601-0F15A0521C28}">
  <dimension ref="A1:U65"/>
  <sheetViews>
    <sheetView workbookViewId="0">
      <pane ySplit="2" topLeftCell="A7" activePane="bottomLeft" state="frozen"/>
      <selection pane="bottomLeft" activeCell="G21" sqref="G21"/>
      <selection activeCell="C1" sqref="C1"/>
    </sheetView>
  </sheetViews>
  <sheetFormatPr defaultColWidth="8.85546875" defaultRowHeight="15.95"/>
  <cols>
    <col min="1" max="1" width="12.7109375" style="74" customWidth="1"/>
    <col min="2" max="2" width="9.140625" style="74" bestFit="1" customWidth="1"/>
    <col min="3" max="3" width="32.140625" style="74" customWidth="1"/>
    <col min="4" max="4" width="2.7109375" style="74" customWidth="1"/>
    <col min="5" max="5" width="15" style="76" customWidth="1"/>
    <col min="6" max="6" width="1.85546875" style="76" customWidth="1"/>
    <col min="7" max="7" width="20" style="76" customWidth="1"/>
    <col min="8" max="8" width="2.7109375" style="74" customWidth="1"/>
    <col min="9" max="9" width="26.5703125" style="74" customWidth="1"/>
    <col min="10" max="10" width="2.42578125" style="74" customWidth="1"/>
    <col min="11" max="11" width="13.7109375" style="74" customWidth="1"/>
    <col min="12" max="12" width="2.7109375" style="74" customWidth="1"/>
    <col min="13" max="13" width="6.28515625" style="74" customWidth="1"/>
    <col min="14" max="14" width="13.7109375" style="74" customWidth="1"/>
    <col min="15" max="15" width="2.7109375" style="74" customWidth="1"/>
    <col min="16" max="16" width="9.140625" style="74" bestFit="1" customWidth="1"/>
    <col min="17" max="17" width="11.42578125" style="74" customWidth="1"/>
    <col min="18" max="18" width="2.140625" style="74" customWidth="1"/>
    <col min="19" max="19" width="9.140625" style="74" bestFit="1" customWidth="1"/>
    <col min="20" max="20" width="11.42578125" style="74" customWidth="1"/>
    <col min="21" max="21" width="32.5703125" style="74" customWidth="1"/>
    <col min="22" max="22" width="21.42578125" style="74" customWidth="1"/>
    <col min="23" max="16384" width="8.85546875" style="74"/>
  </cols>
  <sheetData>
    <row r="1" spans="1:21" s="75" customFormat="1">
      <c r="A1" s="77" t="s">
        <v>190</v>
      </c>
      <c r="E1" s="78"/>
      <c r="F1" s="78"/>
      <c r="G1" s="78"/>
      <c r="M1" s="77"/>
      <c r="P1" s="77"/>
      <c r="S1" s="77"/>
    </row>
    <row r="2" spans="1:21" s="75" customFormat="1" ht="47.65">
      <c r="B2" s="77"/>
      <c r="C2" s="75" t="s">
        <v>352</v>
      </c>
      <c r="E2" s="79" t="s">
        <v>67</v>
      </c>
      <c r="F2" s="79"/>
      <c r="G2" s="79" t="s">
        <v>68</v>
      </c>
      <c r="H2" s="80"/>
      <c r="I2" s="80" t="s">
        <v>5</v>
      </c>
      <c r="J2" s="80"/>
      <c r="K2" s="81" t="s">
        <v>193</v>
      </c>
      <c r="M2" s="82"/>
      <c r="N2" s="81" t="s">
        <v>69</v>
      </c>
      <c r="P2" s="82"/>
      <c r="Q2" s="81" t="s">
        <v>70</v>
      </c>
      <c r="S2" s="82"/>
      <c r="T2" s="81" t="s">
        <v>71</v>
      </c>
      <c r="U2" s="80" t="s">
        <v>72</v>
      </c>
    </row>
    <row r="3" spans="1:21" s="75" customFormat="1">
      <c r="A3" s="77" t="s">
        <v>73</v>
      </c>
      <c r="E3" s="78"/>
      <c r="F3" s="78"/>
      <c r="G3" s="78"/>
    </row>
    <row r="4" spans="1:21">
      <c r="B4" s="83"/>
      <c r="M4" s="83"/>
      <c r="P4" s="83"/>
      <c r="S4" s="83"/>
    </row>
    <row r="5" spans="1:21">
      <c r="A5" s="84"/>
      <c r="B5" s="84"/>
      <c r="C5" s="84" t="s">
        <v>353</v>
      </c>
      <c r="D5" s="84"/>
      <c r="M5" s="83"/>
      <c r="P5" s="83"/>
      <c r="S5" s="83"/>
    </row>
    <row r="6" spans="1:21">
      <c r="A6" s="84"/>
      <c r="B6" s="84"/>
      <c r="C6" s="84"/>
      <c r="D6" s="84"/>
      <c r="M6" s="85" t="b">
        <v>0</v>
      </c>
      <c r="N6" s="86"/>
      <c r="P6" s="85" t="b">
        <v>0</v>
      </c>
      <c r="S6" s="85" t="b">
        <v>0</v>
      </c>
    </row>
    <row r="7" spans="1:21">
      <c r="A7" s="84" t="s">
        <v>354</v>
      </c>
      <c r="B7" s="84"/>
      <c r="C7" s="84" t="s">
        <v>355</v>
      </c>
      <c r="D7" s="84"/>
      <c r="K7" s="86"/>
      <c r="M7" s="85" t="b">
        <v>0</v>
      </c>
      <c r="N7" s="86"/>
      <c r="P7" s="85" t="b">
        <v>0</v>
      </c>
      <c r="Q7" s="86"/>
      <c r="S7" s="85" t="b">
        <v>0</v>
      </c>
    </row>
    <row r="8" spans="1:21">
      <c r="A8" s="84"/>
      <c r="B8" s="84"/>
      <c r="C8" s="84"/>
      <c r="D8" s="84"/>
      <c r="K8" s="86"/>
      <c r="M8" s="85" t="b">
        <v>0</v>
      </c>
      <c r="N8" s="86"/>
      <c r="P8" s="85" t="b">
        <v>0</v>
      </c>
      <c r="Q8" s="86"/>
      <c r="S8" s="85" t="b">
        <v>0</v>
      </c>
    </row>
    <row r="9" spans="1:21">
      <c r="A9" s="84"/>
      <c r="B9" s="84"/>
      <c r="C9" s="84" t="s">
        <v>206</v>
      </c>
      <c r="D9" s="84"/>
      <c r="E9" s="76">
        <v>450</v>
      </c>
      <c r="G9" s="76">
        <v>716.37</v>
      </c>
      <c r="I9" s="74" t="s">
        <v>89</v>
      </c>
      <c r="K9" s="86"/>
      <c r="M9" s="85" t="b">
        <v>0</v>
      </c>
      <c r="N9" s="86">
        <v>45972</v>
      </c>
      <c r="P9" s="85" t="b">
        <v>0</v>
      </c>
      <c r="Q9" s="86"/>
      <c r="S9" s="85" t="b">
        <v>0</v>
      </c>
    </row>
    <row r="10" spans="1:21">
      <c r="A10" s="84"/>
      <c r="B10" s="84"/>
      <c r="C10" s="84" t="s">
        <v>356</v>
      </c>
      <c r="D10" s="84"/>
      <c r="E10" s="76">
        <v>350</v>
      </c>
      <c r="G10" s="76" t="s">
        <v>357</v>
      </c>
      <c r="I10" s="74" t="s">
        <v>89</v>
      </c>
      <c r="K10" s="86"/>
      <c r="M10" s="85" t="b">
        <v>0</v>
      </c>
      <c r="N10" s="86">
        <v>45972</v>
      </c>
      <c r="P10" s="85" t="b">
        <v>0</v>
      </c>
      <c r="Q10" s="86"/>
      <c r="S10" s="85" t="b">
        <v>0</v>
      </c>
    </row>
    <row r="11" spans="1:21" ht="47.65">
      <c r="A11" s="84"/>
      <c r="B11" s="84"/>
      <c r="C11" s="88" t="s">
        <v>358</v>
      </c>
      <c r="D11" s="84"/>
      <c r="E11" s="76">
        <v>1000</v>
      </c>
      <c r="I11" s="74" t="s">
        <v>15</v>
      </c>
      <c r="K11" s="86"/>
      <c r="M11" s="83"/>
      <c r="N11" s="86" t="s">
        <v>359</v>
      </c>
      <c r="P11" s="83"/>
      <c r="Q11" s="86"/>
      <c r="S11" s="83"/>
    </row>
    <row r="12" spans="1:21">
      <c r="A12" s="84"/>
      <c r="B12" s="84"/>
      <c r="C12" s="84" t="s">
        <v>360</v>
      </c>
      <c r="D12" s="84"/>
      <c r="E12" s="76">
        <v>600</v>
      </c>
      <c r="I12" s="74" t="s">
        <v>361</v>
      </c>
      <c r="K12" s="86"/>
      <c r="M12" s="85" t="b">
        <v>0</v>
      </c>
      <c r="N12" s="86"/>
      <c r="P12" s="85" t="b">
        <v>0</v>
      </c>
      <c r="Q12" s="86"/>
      <c r="S12" s="85" t="b">
        <v>0</v>
      </c>
    </row>
    <row r="13" spans="1:21">
      <c r="A13" s="84"/>
      <c r="B13" s="84"/>
      <c r="C13" s="84" t="s">
        <v>362</v>
      </c>
      <c r="D13" s="84"/>
      <c r="E13" s="76">
        <v>100</v>
      </c>
      <c r="G13" s="76" t="s">
        <v>357</v>
      </c>
      <c r="I13" s="74" t="s">
        <v>6</v>
      </c>
      <c r="K13" s="86"/>
      <c r="M13" s="85" t="b">
        <v>0</v>
      </c>
      <c r="N13" s="86">
        <v>45972</v>
      </c>
      <c r="P13" s="85" t="b">
        <v>0</v>
      </c>
      <c r="Q13" s="86"/>
      <c r="S13" s="85" t="b">
        <v>0</v>
      </c>
    </row>
    <row r="14" spans="1:21">
      <c r="A14" s="84"/>
      <c r="B14" s="84"/>
      <c r="C14" s="84" t="s">
        <v>363</v>
      </c>
      <c r="D14" s="84"/>
      <c r="G14" s="76" t="s">
        <v>364</v>
      </c>
      <c r="I14" s="74" t="s">
        <v>8</v>
      </c>
      <c r="K14" s="86"/>
      <c r="M14" s="85" t="b">
        <v>0</v>
      </c>
      <c r="N14" s="86">
        <v>42319</v>
      </c>
      <c r="P14" s="85" t="b">
        <v>0</v>
      </c>
      <c r="Q14" s="86"/>
      <c r="S14" s="85" t="b">
        <v>0</v>
      </c>
    </row>
    <row r="15" spans="1:21">
      <c r="A15" s="84"/>
      <c r="B15" s="84"/>
      <c r="C15" s="84" t="s">
        <v>365</v>
      </c>
      <c r="D15" s="84"/>
      <c r="E15" s="76">
        <v>50</v>
      </c>
      <c r="G15" s="76">
        <v>45.01</v>
      </c>
      <c r="I15" s="74" t="s">
        <v>8</v>
      </c>
      <c r="K15" s="86"/>
      <c r="M15" s="85" t="b">
        <v>0</v>
      </c>
      <c r="N15" s="86">
        <v>42319</v>
      </c>
      <c r="P15" s="85" t="b">
        <v>0</v>
      </c>
      <c r="Q15" s="86"/>
      <c r="S15" s="85" t="b">
        <v>0</v>
      </c>
    </row>
    <row r="16" spans="1:21">
      <c r="A16" s="84"/>
      <c r="B16" s="84"/>
      <c r="C16" s="84" t="s">
        <v>90</v>
      </c>
      <c r="D16" s="84"/>
      <c r="G16" s="76" t="s">
        <v>357</v>
      </c>
      <c r="I16" s="74" t="s">
        <v>6</v>
      </c>
      <c r="N16" s="86">
        <v>45972</v>
      </c>
      <c r="P16" s="83"/>
      <c r="S16" s="83"/>
    </row>
    <row r="17" spans="1:19">
      <c r="A17" s="84" t="s">
        <v>366</v>
      </c>
      <c r="B17" s="84"/>
      <c r="C17" s="84" t="s">
        <v>367</v>
      </c>
      <c r="D17" s="84"/>
      <c r="E17" s="76">
        <v>350</v>
      </c>
      <c r="G17" s="76">
        <v>253.51</v>
      </c>
      <c r="I17" s="74" t="s">
        <v>8</v>
      </c>
      <c r="K17" s="86"/>
      <c r="M17" s="85" t="b">
        <v>0</v>
      </c>
      <c r="N17" s="86">
        <v>42319</v>
      </c>
      <c r="P17" s="85" t="b">
        <v>0</v>
      </c>
      <c r="S17" s="85" t="b">
        <v>0</v>
      </c>
    </row>
    <row r="18" spans="1:19">
      <c r="A18" s="84"/>
      <c r="B18" s="84"/>
      <c r="C18" s="84" t="s">
        <v>368</v>
      </c>
      <c r="D18" s="84"/>
      <c r="G18" s="76" t="s">
        <v>364</v>
      </c>
      <c r="M18" s="83"/>
      <c r="N18" s="86"/>
      <c r="P18" s="85" t="b">
        <v>0</v>
      </c>
    </row>
    <row r="19" spans="1:19">
      <c r="A19" s="84"/>
      <c r="B19" s="84"/>
      <c r="C19" s="84"/>
      <c r="D19" s="84"/>
      <c r="K19" s="86"/>
      <c r="M19" s="83"/>
      <c r="P19" s="83"/>
      <c r="S19" s="83"/>
    </row>
    <row r="20" spans="1:19">
      <c r="A20" s="84" t="s">
        <v>369</v>
      </c>
      <c r="B20" s="84"/>
      <c r="C20" s="84" t="s">
        <v>370</v>
      </c>
      <c r="D20" s="84"/>
      <c r="E20" s="76">
        <v>3400</v>
      </c>
      <c r="G20" s="76">
        <v>4034.52</v>
      </c>
      <c r="I20" s="74" t="s">
        <v>371</v>
      </c>
      <c r="K20" s="86"/>
      <c r="M20" s="85" t="b">
        <v>0</v>
      </c>
      <c r="N20" s="86">
        <v>45938</v>
      </c>
      <c r="P20" s="85" t="b">
        <v>0</v>
      </c>
      <c r="S20" s="85" t="b">
        <v>0</v>
      </c>
    </row>
    <row r="21" spans="1:19">
      <c r="A21" s="84"/>
      <c r="B21" s="84"/>
      <c r="C21" s="84" t="s">
        <v>372</v>
      </c>
      <c r="D21" s="84"/>
      <c r="E21" s="76">
        <v>100</v>
      </c>
      <c r="G21" s="76">
        <v>62.73</v>
      </c>
      <c r="I21" s="74" t="s">
        <v>373</v>
      </c>
      <c r="M21" s="87"/>
      <c r="N21" s="86">
        <v>45933</v>
      </c>
      <c r="P21" s="85" t="b">
        <v>0</v>
      </c>
      <c r="S21" s="85" t="b">
        <v>0</v>
      </c>
    </row>
    <row r="22" spans="1:19">
      <c r="A22" s="84"/>
      <c r="B22" s="84"/>
      <c r="C22" s="84" t="s">
        <v>374</v>
      </c>
      <c r="D22" s="84"/>
      <c r="G22" s="76" t="s">
        <v>375</v>
      </c>
      <c r="M22" s="87"/>
      <c r="N22" s="86"/>
      <c r="P22" s="83"/>
      <c r="S22" s="87"/>
    </row>
    <row r="23" spans="1:19">
      <c r="A23" s="84"/>
      <c r="B23" s="84"/>
      <c r="C23" s="88"/>
      <c r="D23" s="88"/>
      <c r="K23" s="86"/>
      <c r="M23" s="83"/>
      <c r="N23" s="86"/>
      <c r="P23" s="83"/>
      <c r="S23" s="83"/>
    </row>
    <row r="24" spans="1:19">
      <c r="A24" s="84"/>
      <c r="B24" s="84"/>
      <c r="C24" s="88"/>
      <c r="D24" s="88"/>
      <c r="K24" s="86"/>
      <c r="M24" s="83"/>
      <c r="P24" s="83"/>
      <c r="S24" s="83"/>
    </row>
    <row r="25" spans="1:19">
      <c r="A25" s="84" t="s">
        <v>100</v>
      </c>
      <c r="B25" s="84"/>
      <c r="C25" s="84" t="s">
        <v>376</v>
      </c>
      <c r="D25" s="84"/>
      <c r="G25" s="93"/>
      <c r="K25" s="86"/>
      <c r="M25" s="85" t="b">
        <v>0</v>
      </c>
      <c r="N25" s="86"/>
      <c r="P25" s="85" t="b">
        <v>0</v>
      </c>
      <c r="S25" s="85" t="b">
        <v>0</v>
      </c>
    </row>
    <row r="26" spans="1:19">
      <c r="A26" s="84"/>
      <c r="B26" s="84"/>
      <c r="C26" s="84"/>
      <c r="D26" s="84"/>
      <c r="K26" s="86"/>
      <c r="M26" s="83"/>
      <c r="P26" s="83"/>
      <c r="S26" s="83"/>
    </row>
    <row r="27" spans="1:19">
      <c r="A27" s="84" t="s">
        <v>377</v>
      </c>
      <c r="B27" s="84"/>
      <c r="C27" s="84" t="s">
        <v>378</v>
      </c>
      <c r="D27" s="84"/>
      <c r="F27" s="89"/>
      <c r="G27" s="89"/>
      <c r="H27" s="90"/>
      <c r="I27" s="90"/>
      <c r="M27" s="87"/>
      <c r="P27" s="87"/>
      <c r="S27" s="87"/>
    </row>
    <row r="28" spans="1:19" s="75" customFormat="1">
      <c r="B28" s="77"/>
      <c r="E28" s="78"/>
      <c r="F28" s="78"/>
      <c r="G28" s="78"/>
      <c r="K28" s="74"/>
      <c r="M28" s="83"/>
      <c r="P28" s="83"/>
      <c r="S28" s="83"/>
    </row>
    <row r="29" spans="1:19" s="3" customFormat="1">
      <c r="A29" s="3" t="s">
        <v>379</v>
      </c>
      <c r="B29" s="1"/>
      <c r="C29" s="3" t="s">
        <v>380</v>
      </c>
      <c r="E29" s="13">
        <v>300</v>
      </c>
      <c r="F29" s="13"/>
      <c r="G29" s="13">
        <v>291.51</v>
      </c>
      <c r="I29" s="3" t="s">
        <v>381</v>
      </c>
      <c r="M29" s="1"/>
      <c r="N29" s="10">
        <v>45972</v>
      </c>
      <c r="P29" s="1"/>
      <c r="S29" s="1"/>
    </row>
    <row r="30" spans="1:19" s="3" customFormat="1">
      <c r="B30" s="1"/>
      <c r="C30" s="3" t="s">
        <v>382</v>
      </c>
      <c r="E30" s="13">
        <v>200</v>
      </c>
      <c r="F30" s="13"/>
      <c r="G30" s="13" t="s">
        <v>383</v>
      </c>
      <c r="I30" s="3" t="s">
        <v>6</v>
      </c>
      <c r="M30" s="1"/>
      <c r="N30" s="10">
        <v>45972</v>
      </c>
      <c r="P30" s="1"/>
      <c r="S30" s="1"/>
    </row>
    <row r="31" spans="1:19" s="3" customFormat="1">
      <c r="B31" s="1"/>
      <c r="E31" s="13"/>
      <c r="F31" s="13"/>
      <c r="G31" s="13"/>
      <c r="M31" s="1"/>
      <c r="P31" s="1"/>
      <c r="S31" s="1"/>
    </row>
    <row r="32" spans="1:19" s="75" customFormat="1">
      <c r="A32" s="75" t="s">
        <v>384</v>
      </c>
      <c r="B32" s="83"/>
      <c r="C32" s="74" t="s">
        <v>385</v>
      </c>
      <c r="D32" s="74"/>
      <c r="E32" s="78"/>
      <c r="F32" s="78"/>
      <c r="G32" s="78"/>
      <c r="I32" s="75" t="s">
        <v>386</v>
      </c>
      <c r="K32" s="74"/>
      <c r="M32" s="83"/>
      <c r="N32" s="99">
        <v>45972</v>
      </c>
      <c r="P32" s="83"/>
      <c r="S32" s="83"/>
    </row>
    <row r="33" spans="2:19" s="75" customFormat="1">
      <c r="B33" s="83"/>
      <c r="C33" s="74"/>
      <c r="D33" s="74"/>
      <c r="E33" s="78">
        <f>SUM(E3:E32)</f>
        <v>6900</v>
      </c>
      <c r="F33" s="78"/>
      <c r="G33" s="78">
        <f>SUM(G4:G32)</f>
        <v>5403.65</v>
      </c>
      <c r="K33" s="74"/>
      <c r="M33" s="83"/>
      <c r="P33" s="83"/>
      <c r="S33" s="83"/>
    </row>
    <row r="34" spans="2:19" s="75" customFormat="1">
      <c r="B34" s="83"/>
      <c r="C34" s="74"/>
      <c r="D34" s="74"/>
      <c r="E34" s="78"/>
      <c r="F34" s="78"/>
      <c r="G34" s="78"/>
      <c r="K34" s="74"/>
      <c r="M34" s="83"/>
      <c r="P34" s="83"/>
      <c r="S34" s="83"/>
    </row>
    <row r="35" spans="2:19" s="75" customFormat="1">
      <c r="B35" s="83"/>
      <c r="C35" s="74"/>
      <c r="D35" s="74"/>
      <c r="E35" s="78"/>
      <c r="F35" s="78"/>
      <c r="G35" s="78"/>
      <c r="K35" s="74"/>
      <c r="M35" s="83"/>
      <c r="P35" s="83"/>
      <c r="S35" s="83"/>
    </row>
    <row r="36" spans="2:19">
      <c r="B36" s="83"/>
      <c r="M36" s="83"/>
      <c r="P36" s="83"/>
      <c r="S36" s="83"/>
    </row>
    <row r="37" spans="2:19">
      <c r="B37" s="83"/>
      <c r="M37" s="83"/>
      <c r="P37" s="83"/>
      <c r="S37" s="83"/>
    </row>
    <row r="38" spans="2:19">
      <c r="B38" s="83"/>
      <c r="M38" s="83"/>
      <c r="P38" s="83"/>
      <c r="S38" s="83"/>
    </row>
    <row r="39" spans="2:19">
      <c r="B39" s="83"/>
      <c r="M39" s="83"/>
      <c r="P39" s="83"/>
      <c r="S39" s="83"/>
    </row>
    <row r="40" spans="2:19">
      <c r="B40" s="83"/>
      <c r="M40" s="83"/>
      <c r="P40" s="83"/>
      <c r="S40" s="83"/>
    </row>
    <row r="41" spans="2:19">
      <c r="B41" s="87"/>
      <c r="M41" s="83"/>
      <c r="P41" s="83"/>
      <c r="S41" s="83"/>
    </row>
    <row r="42" spans="2:19">
      <c r="B42" s="83"/>
      <c r="K42" s="75"/>
      <c r="M42" s="83"/>
      <c r="P42" s="83"/>
      <c r="S42" s="83"/>
    </row>
    <row r="43" spans="2:19">
      <c r="B43" s="83"/>
      <c r="K43" s="75"/>
      <c r="M43" s="83"/>
      <c r="P43" s="83"/>
      <c r="S43" s="83"/>
    </row>
    <row r="44" spans="2:19">
      <c r="B44" s="83"/>
      <c r="K44" s="75"/>
      <c r="M44" s="83"/>
      <c r="P44" s="83"/>
      <c r="S44" s="83"/>
    </row>
    <row r="45" spans="2:19">
      <c r="B45" s="83"/>
      <c r="K45" s="75"/>
      <c r="M45" s="83"/>
      <c r="P45" s="83"/>
      <c r="S45" s="83"/>
    </row>
    <row r="46" spans="2:19">
      <c r="B46" s="83"/>
      <c r="M46" s="83"/>
      <c r="P46" s="83"/>
      <c r="S46" s="83"/>
    </row>
    <row r="47" spans="2:19">
      <c r="B47" s="83"/>
      <c r="M47" s="91"/>
      <c r="P47" s="91"/>
      <c r="S47" s="91"/>
    </row>
    <row r="48" spans="2:19" s="75" customFormat="1">
      <c r="B48" s="77"/>
      <c r="E48" s="78"/>
      <c r="F48" s="78"/>
      <c r="G48" s="78"/>
      <c r="M48" s="92"/>
      <c r="P48" s="92"/>
      <c r="S48" s="92"/>
    </row>
    <row r="49" spans="2:19" s="75" customFormat="1">
      <c r="B49" s="77"/>
      <c r="E49" s="78"/>
      <c r="F49" s="78"/>
      <c r="G49" s="78"/>
      <c r="K49" s="74"/>
      <c r="M49" s="91"/>
      <c r="P49" s="91"/>
      <c r="S49" s="91"/>
    </row>
    <row r="50" spans="2:19" s="75" customFormat="1">
      <c r="B50" s="83"/>
      <c r="C50" s="74"/>
      <c r="D50" s="74"/>
      <c r="E50" s="78"/>
      <c r="F50" s="78"/>
      <c r="G50" s="78"/>
      <c r="M50" s="77"/>
      <c r="P50" s="77"/>
      <c r="S50" s="77"/>
    </row>
    <row r="51" spans="2:19" s="75" customFormat="1">
      <c r="B51" s="83"/>
      <c r="C51" s="74"/>
      <c r="D51" s="74"/>
      <c r="E51" s="78"/>
      <c r="F51" s="78"/>
      <c r="G51" s="78"/>
      <c r="M51" s="77"/>
      <c r="P51" s="77"/>
      <c r="S51" s="77"/>
    </row>
    <row r="52" spans="2:19">
      <c r="B52" s="83"/>
      <c r="K52" s="75"/>
      <c r="M52" s="77"/>
      <c r="P52" s="77"/>
      <c r="S52" s="77"/>
    </row>
    <row r="53" spans="2:19">
      <c r="B53" s="83"/>
      <c r="K53" s="75"/>
      <c r="M53" s="83"/>
      <c r="P53" s="83"/>
      <c r="S53" s="83"/>
    </row>
    <row r="54" spans="2:19">
      <c r="B54" s="83"/>
      <c r="K54" s="75"/>
      <c r="M54" s="83"/>
      <c r="P54" s="83"/>
      <c r="S54" s="83"/>
    </row>
    <row r="55" spans="2:19">
      <c r="B55" s="83"/>
      <c r="M55" s="83"/>
      <c r="P55" s="83"/>
      <c r="S55" s="83"/>
    </row>
    <row r="56" spans="2:19">
      <c r="B56" s="83"/>
      <c r="M56" s="83"/>
      <c r="P56" s="83"/>
      <c r="S56" s="83"/>
    </row>
    <row r="57" spans="2:19">
      <c r="B57" s="83"/>
      <c r="M57" s="83"/>
      <c r="P57" s="83"/>
      <c r="S57" s="83"/>
    </row>
    <row r="58" spans="2:19">
      <c r="B58" s="83"/>
      <c r="M58" s="83"/>
      <c r="P58" s="83"/>
      <c r="S58" s="83"/>
    </row>
    <row r="59" spans="2:19">
      <c r="B59" s="83"/>
      <c r="M59" s="83"/>
      <c r="P59" s="83"/>
      <c r="S59" s="83"/>
    </row>
    <row r="60" spans="2:19">
      <c r="B60" s="83"/>
      <c r="M60" s="83"/>
      <c r="P60" s="83"/>
      <c r="S60" s="83"/>
    </row>
    <row r="61" spans="2:19">
      <c r="B61" s="83"/>
      <c r="M61" s="83"/>
      <c r="P61" s="83"/>
      <c r="S61" s="83"/>
    </row>
    <row r="62" spans="2:19">
      <c r="B62" s="83"/>
      <c r="M62" s="83"/>
      <c r="P62" s="83"/>
      <c r="S62" s="83"/>
    </row>
    <row r="63" spans="2:19">
      <c r="M63" s="83"/>
      <c r="P63" s="83"/>
      <c r="S63" s="83"/>
    </row>
    <row r="64" spans="2:19">
      <c r="M64" s="83"/>
      <c r="P64" s="83"/>
      <c r="S64" s="83"/>
    </row>
    <row r="65" spans="13:19">
      <c r="M65" s="83"/>
      <c r="P65" s="83"/>
      <c r="S65" s="83"/>
    </row>
  </sheetData>
  <pageMargins left="0.7" right="0.7" top="0.75" bottom="0.75" header="0.3" footer="0.3"/>
  <pageSetup orientation="portrait" horizontalDpi="203" verticalDpi="20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EA23-8FC8-4E35-93DB-66C08328A443}">
  <dimension ref="A1:U62"/>
  <sheetViews>
    <sheetView topLeftCell="K1" workbookViewId="0">
      <pane ySplit="2" topLeftCell="A3" activePane="bottomLeft" state="frozen"/>
      <selection pane="bottomLeft" activeCell="J12" sqref="J12"/>
      <selection activeCell="C1" sqref="C1"/>
    </sheetView>
  </sheetViews>
  <sheetFormatPr defaultColWidth="8.85546875" defaultRowHeight="15.95"/>
  <cols>
    <col min="1" max="1" width="12.7109375" style="74" customWidth="1"/>
    <col min="2" max="2" width="9.140625" style="74" bestFit="1" customWidth="1"/>
    <col min="3" max="3" width="32.140625" style="74" customWidth="1"/>
    <col min="4" max="4" width="2.7109375" style="74" customWidth="1"/>
    <col min="5" max="5" width="15" style="76" customWidth="1"/>
    <col min="6" max="6" width="1.85546875" style="76" customWidth="1"/>
    <col min="7" max="7" width="20" style="76" customWidth="1"/>
    <col min="8" max="8" width="2.7109375" style="74" customWidth="1"/>
    <col min="9" max="9" width="26.5703125" style="74" customWidth="1"/>
    <col min="10" max="10" width="2.42578125" style="74" customWidth="1"/>
    <col min="11" max="11" width="13.7109375" style="74" customWidth="1"/>
    <col min="12" max="12" width="2.7109375" style="74" customWidth="1"/>
    <col min="13" max="13" width="6.28515625" style="74" customWidth="1"/>
    <col min="14" max="14" width="13.7109375" style="74" customWidth="1"/>
    <col min="15" max="15" width="2.7109375" style="74" customWidth="1"/>
    <col min="16" max="16" width="9.140625" style="74" bestFit="1" customWidth="1"/>
    <col min="17" max="17" width="11.42578125" style="74" customWidth="1"/>
    <col min="18" max="18" width="2.140625" style="74" customWidth="1"/>
    <col min="19" max="19" width="9.140625" style="74" bestFit="1" customWidth="1"/>
    <col min="20" max="20" width="11.42578125" style="74" customWidth="1"/>
    <col min="21" max="21" width="32.5703125" style="74" customWidth="1"/>
    <col min="22" max="22" width="21.42578125" style="74" customWidth="1"/>
    <col min="23" max="16384" width="8.85546875" style="74"/>
  </cols>
  <sheetData>
    <row r="1" spans="1:21" s="75" customFormat="1">
      <c r="A1" s="77" t="s">
        <v>190</v>
      </c>
      <c r="E1" s="78"/>
      <c r="F1" s="78"/>
      <c r="G1" s="78"/>
      <c r="M1" s="77"/>
      <c r="P1" s="77"/>
      <c r="S1" s="77"/>
    </row>
    <row r="2" spans="1:21" s="75" customFormat="1" ht="47.65">
      <c r="B2" s="77"/>
      <c r="C2" s="75" t="s">
        <v>387</v>
      </c>
      <c r="E2" s="79" t="s">
        <v>67</v>
      </c>
      <c r="F2" s="79"/>
      <c r="G2" s="79" t="s">
        <v>68</v>
      </c>
      <c r="H2" s="80"/>
      <c r="I2" s="80" t="s">
        <v>5</v>
      </c>
      <c r="J2" s="80"/>
      <c r="K2" s="81" t="s">
        <v>193</v>
      </c>
      <c r="M2" s="82"/>
      <c r="N2" s="81" t="s">
        <v>69</v>
      </c>
      <c r="P2" s="82"/>
      <c r="Q2" s="81" t="s">
        <v>70</v>
      </c>
      <c r="S2" s="82"/>
      <c r="T2" s="81" t="s">
        <v>71</v>
      </c>
      <c r="U2" s="80" t="s">
        <v>72</v>
      </c>
    </row>
    <row r="3" spans="1:21" s="75" customFormat="1">
      <c r="A3" s="77" t="s">
        <v>73</v>
      </c>
      <c r="E3" s="78"/>
      <c r="F3" s="78"/>
      <c r="G3" s="78"/>
    </row>
    <row r="4" spans="1:21">
      <c r="B4" s="83"/>
      <c r="M4" s="83"/>
      <c r="P4" s="83"/>
      <c r="S4" s="83"/>
    </row>
    <row r="5" spans="1:21">
      <c r="A5" s="84"/>
      <c r="B5" s="84"/>
      <c r="C5" s="84" t="s">
        <v>353</v>
      </c>
      <c r="D5" s="84"/>
      <c r="M5" s="83"/>
      <c r="P5" s="83"/>
      <c r="S5" s="83"/>
    </row>
    <row r="6" spans="1:21">
      <c r="A6" s="84"/>
      <c r="B6" s="84"/>
      <c r="C6" s="84"/>
      <c r="D6" s="84"/>
      <c r="M6" s="85" t="b">
        <v>0</v>
      </c>
      <c r="N6" s="86"/>
      <c r="P6" s="85" t="b">
        <v>0</v>
      </c>
      <c r="S6" s="85" t="b">
        <v>0</v>
      </c>
    </row>
    <row r="7" spans="1:21">
      <c r="A7" s="84" t="s">
        <v>354</v>
      </c>
      <c r="B7" s="84"/>
      <c r="C7" s="84" t="s">
        <v>355</v>
      </c>
      <c r="D7" s="84"/>
      <c r="K7" s="86"/>
      <c r="M7" s="85" t="b">
        <v>0</v>
      </c>
      <c r="N7" s="86"/>
      <c r="P7" s="85" t="b">
        <v>0</v>
      </c>
      <c r="Q7" s="86"/>
      <c r="S7" s="85" t="b">
        <v>0</v>
      </c>
    </row>
    <row r="8" spans="1:21">
      <c r="A8" s="84"/>
      <c r="B8" s="84"/>
      <c r="C8" s="84" t="s">
        <v>388</v>
      </c>
      <c r="D8" s="84"/>
      <c r="K8" s="86"/>
      <c r="M8" s="85" t="b">
        <v>0</v>
      </c>
      <c r="N8" s="86"/>
      <c r="P8" s="85" t="b">
        <v>0</v>
      </c>
      <c r="Q8" s="86"/>
      <c r="S8" s="85" t="b">
        <v>0</v>
      </c>
    </row>
    <row r="9" spans="1:21">
      <c r="A9" s="84"/>
      <c r="B9" s="84"/>
      <c r="C9" s="84" t="s">
        <v>389</v>
      </c>
      <c r="D9" s="84"/>
      <c r="E9" s="76">
        <v>300</v>
      </c>
      <c r="G9" s="76">
        <v>768.64</v>
      </c>
      <c r="I9" s="74" t="s">
        <v>390</v>
      </c>
      <c r="K9" s="86"/>
      <c r="M9" s="85" t="b">
        <v>0</v>
      </c>
      <c r="N9" s="86"/>
      <c r="P9" s="85" t="b">
        <v>0</v>
      </c>
      <c r="Q9" s="86"/>
      <c r="S9" s="85" t="b">
        <v>0</v>
      </c>
    </row>
    <row r="10" spans="1:21">
      <c r="A10" s="84"/>
      <c r="B10" s="84"/>
      <c r="C10" s="84"/>
      <c r="D10" s="84"/>
      <c r="K10" s="86"/>
      <c r="M10" s="85" t="b">
        <v>0</v>
      </c>
      <c r="N10" s="86"/>
      <c r="P10" s="85" t="b">
        <v>0</v>
      </c>
      <c r="Q10" s="86"/>
      <c r="S10" s="85" t="b">
        <v>0</v>
      </c>
    </row>
    <row r="11" spans="1:21">
      <c r="A11" s="84"/>
      <c r="B11" s="84"/>
      <c r="C11" s="84"/>
      <c r="D11" s="84"/>
      <c r="K11" s="86"/>
      <c r="M11" s="83"/>
      <c r="N11" s="86"/>
      <c r="P11" s="83"/>
      <c r="Q11" s="86"/>
      <c r="S11" s="83"/>
    </row>
    <row r="12" spans="1:21">
      <c r="A12" s="84"/>
      <c r="B12" s="84"/>
      <c r="C12" s="84" t="s">
        <v>391</v>
      </c>
      <c r="D12" s="84"/>
      <c r="E12" s="76">
        <v>500</v>
      </c>
      <c r="G12" s="76" t="s">
        <v>392</v>
      </c>
      <c r="I12" s="74" t="s">
        <v>393</v>
      </c>
      <c r="K12" s="86"/>
      <c r="M12" s="85" t="b">
        <v>0</v>
      </c>
      <c r="N12" s="86"/>
      <c r="P12" s="85" t="b">
        <v>0</v>
      </c>
      <c r="Q12" s="86"/>
      <c r="S12" s="85" t="b">
        <v>0</v>
      </c>
    </row>
    <row r="13" spans="1:21">
      <c r="A13" s="84"/>
      <c r="B13" s="84"/>
      <c r="C13" s="84"/>
      <c r="D13" s="84"/>
      <c r="K13" s="86"/>
      <c r="M13" s="85" t="b">
        <v>0</v>
      </c>
      <c r="N13" s="86"/>
      <c r="P13" s="85" t="b">
        <v>0</v>
      </c>
      <c r="Q13" s="86"/>
      <c r="S13" s="85" t="b">
        <v>0</v>
      </c>
    </row>
    <row r="14" spans="1:21">
      <c r="A14" s="84"/>
      <c r="B14" s="84"/>
      <c r="C14" s="84"/>
      <c r="D14" s="84"/>
      <c r="K14" s="86"/>
      <c r="M14" s="85" t="b">
        <v>0</v>
      </c>
      <c r="N14" s="86"/>
      <c r="P14" s="85" t="b">
        <v>0</v>
      </c>
      <c r="Q14" s="86"/>
      <c r="S14" s="85" t="b">
        <v>0</v>
      </c>
    </row>
    <row r="15" spans="1:21">
      <c r="A15" s="84"/>
      <c r="B15" s="84"/>
      <c r="C15" s="84"/>
      <c r="D15" s="84"/>
      <c r="N15" s="86"/>
      <c r="P15" s="83"/>
      <c r="S15" s="83"/>
    </row>
    <row r="16" spans="1:21">
      <c r="A16" s="84" t="s">
        <v>366</v>
      </c>
      <c r="B16" s="84"/>
      <c r="C16" s="84" t="s">
        <v>394</v>
      </c>
      <c r="D16" s="84"/>
      <c r="E16" s="76">
        <v>200</v>
      </c>
      <c r="G16" s="76">
        <v>172.3</v>
      </c>
      <c r="I16" s="74" t="s">
        <v>395</v>
      </c>
      <c r="K16" s="86"/>
      <c r="M16" s="85" t="b">
        <v>0</v>
      </c>
      <c r="N16" s="86"/>
      <c r="P16" s="85" t="b">
        <v>0</v>
      </c>
      <c r="S16" s="85" t="b">
        <v>0</v>
      </c>
    </row>
    <row r="17" spans="1:19">
      <c r="A17" s="84"/>
      <c r="B17" s="84"/>
      <c r="C17" s="84" t="s">
        <v>396</v>
      </c>
      <c r="D17" s="84"/>
      <c r="M17" s="83"/>
      <c r="N17" s="86"/>
      <c r="P17" s="85" t="b">
        <v>0</v>
      </c>
    </row>
    <row r="18" spans="1:19">
      <c r="A18" s="84"/>
      <c r="B18" s="84"/>
      <c r="C18" s="84"/>
      <c r="D18" s="84"/>
      <c r="K18" s="86"/>
      <c r="M18" s="83"/>
      <c r="P18" s="83"/>
      <c r="S18" s="83"/>
    </row>
    <row r="19" spans="1:19">
      <c r="A19" s="84" t="s">
        <v>397</v>
      </c>
      <c r="B19" s="84"/>
      <c r="C19" s="84" t="s">
        <v>398</v>
      </c>
      <c r="D19" s="84"/>
      <c r="E19" s="76">
        <v>200</v>
      </c>
      <c r="G19" s="76">
        <v>683.51</v>
      </c>
      <c r="I19" s="74" t="s">
        <v>390</v>
      </c>
      <c r="K19" s="86"/>
      <c r="M19" s="85" t="b">
        <v>0</v>
      </c>
      <c r="N19" s="86">
        <v>45929</v>
      </c>
      <c r="P19" s="85" t="b">
        <v>0</v>
      </c>
      <c r="S19" s="85" t="b">
        <v>0</v>
      </c>
    </row>
    <row r="20" spans="1:19">
      <c r="A20" s="84"/>
      <c r="B20" s="84"/>
      <c r="C20" s="84" t="s">
        <v>399</v>
      </c>
      <c r="D20" s="84"/>
      <c r="M20" s="87"/>
      <c r="N20" s="86"/>
      <c r="P20" s="85" t="b">
        <v>0</v>
      </c>
      <c r="S20" s="85" t="b">
        <v>0</v>
      </c>
    </row>
    <row r="21" spans="1:19">
      <c r="A21" s="84"/>
      <c r="B21" s="84"/>
      <c r="C21" s="84" t="s">
        <v>400</v>
      </c>
      <c r="D21" s="84"/>
      <c r="G21" s="76">
        <v>512.24</v>
      </c>
      <c r="I21" s="74" t="s">
        <v>8</v>
      </c>
      <c r="M21" s="87"/>
      <c r="N21" s="86"/>
      <c r="P21" s="83"/>
      <c r="S21" s="87"/>
    </row>
    <row r="22" spans="1:19">
      <c r="A22" s="84"/>
      <c r="B22" s="84"/>
      <c r="C22" s="88"/>
      <c r="D22" s="88"/>
      <c r="K22" s="86"/>
      <c r="M22" s="83"/>
      <c r="N22" s="86"/>
      <c r="P22" s="83"/>
      <c r="S22" s="83"/>
    </row>
    <row r="23" spans="1:19">
      <c r="A23" s="84"/>
      <c r="B23" s="84"/>
      <c r="C23" s="88"/>
      <c r="D23" s="88"/>
      <c r="K23" s="86"/>
      <c r="M23" s="83"/>
      <c r="P23" s="83"/>
      <c r="S23" s="83"/>
    </row>
    <row r="24" spans="1:19">
      <c r="A24" s="84" t="s">
        <v>100</v>
      </c>
      <c r="B24" s="84"/>
      <c r="C24" s="84" t="s">
        <v>376</v>
      </c>
      <c r="D24" s="84"/>
      <c r="E24" s="76">
        <v>700</v>
      </c>
      <c r="G24" s="93"/>
      <c r="K24" s="86"/>
      <c r="M24" s="85" t="b">
        <v>0</v>
      </c>
      <c r="N24" s="86"/>
      <c r="P24" s="85" t="b">
        <v>0</v>
      </c>
      <c r="S24" s="85" t="b">
        <v>0</v>
      </c>
    </row>
    <row r="25" spans="1:19">
      <c r="A25" s="84"/>
      <c r="B25" s="84"/>
      <c r="C25" s="84"/>
      <c r="D25" s="84"/>
      <c r="K25" s="86"/>
      <c r="M25" s="83"/>
      <c r="P25" s="83"/>
      <c r="S25" s="83"/>
    </row>
    <row r="26" spans="1:19">
      <c r="A26" s="84" t="s">
        <v>377</v>
      </c>
      <c r="B26" s="84"/>
      <c r="C26" s="84" t="s">
        <v>378</v>
      </c>
      <c r="D26" s="84"/>
      <c r="F26" s="89"/>
      <c r="G26" s="89"/>
      <c r="H26" s="90"/>
      <c r="I26" s="90"/>
      <c r="M26" s="87"/>
      <c r="P26" s="87"/>
      <c r="S26" s="87"/>
    </row>
    <row r="27" spans="1:19" s="75" customFormat="1">
      <c r="B27" s="77"/>
      <c r="E27" s="78"/>
      <c r="F27" s="78"/>
      <c r="G27" s="78"/>
      <c r="K27" s="74"/>
      <c r="M27" s="83"/>
      <c r="P27" s="83"/>
      <c r="S27" s="83"/>
    </row>
    <row r="28" spans="1:19" s="3" customFormat="1">
      <c r="A28" s="3" t="s">
        <v>270</v>
      </c>
      <c r="B28" s="1"/>
      <c r="C28" s="3" t="s">
        <v>401</v>
      </c>
      <c r="E28" s="13">
        <v>800</v>
      </c>
      <c r="F28" s="13"/>
      <c r="G28" s="13"/>
      <c r="M28" s="1"/>
      <c r="P28" s="1"/>
      <c r="S28" s="1"/>
    </row>
    <row r="29" spans="1:19" s="75" customFormat="1">
      <c r="B29" s="83"/>
      <c r="C29" s="74"/>
      <c r="D29" s="74"/>
      <c r="E29" s="78"/>
      <c r="F29" s="78"/>
      <c r="G29" s="78"/>
      <c r="K29" s="74"/>
      <c r="M29" s="83"/>
      <c r="P29" s="83"/>
      <c r="S29" s="83"/>
    </row>
    <row r="30" spans="1:19" s="75" customFormat="1">
      <c r="B30" s="83"/>
      <c r="C30" s="74"/>
      <c r="D30" s="74"/>
      <c r="E30" s="78">
        <f>SUM(E4:E29)</f>
        <v>2700</v>
      </c>
      <c r="F30" s="78"/>
      <c r="G30" s="78">
        <f>SUM(G4:G29)</f>
        <v>2136.69</v>
      </c>
      <c r="K30" s="74"/>
      <c r="M30" s="83"/>
      <c r="P30" s="83"/>
      <c r="S30" s="83"/>
    </row>
    <row r="31" spans="1:19" s="75" customFormat="1">
      <c r="B31" s="83"/>
      <c r="C31" s="74"/>
      <c r="D31" s="74"/>
      <c r="E31" s="78"/>
      <c r="F31" s="78"/>
      <c r="G31" s="78"/>
      <c r="K31" s="74"/>
      <c r="M31" s="83"/>
      <c r="P31" s="83"/>
      <c r="S31" s="83"/>
    </row>
    <row r="32" spans="1:19" s="75" customFormat="1">
      <c r="B32" s="83"/>
      <c r="C32" s="74"/>
      <c r="D32" s="74"/>
      <c r="E32" s="78"/>
      <c r="F32" s="78"/>
      <c r="G32" s="78"/>
      <c r="K32" s="74"/>
      <c r="M32" s="83"/>
      <c r="P32" s="83"/>
      <c r="S32" s="83"/>
    </row>
    <row r="33" spans="2:19">
      <c r="B33" s="83"/>
      <c r="M33" s="83"/>
      <c r="P33" s="83"/>
      <c r="S33" s="83"/>
    </row>
    <row r="34" spans="2:19">
      <c r="B34" s="83"/>
      <c r="M34" s="83"/>
      <c r="P34" s="83"/>
      <c r="S34" s="83"/>
    </row>
    <row r="35" spans="2:19">
      <c r="B35" s="83"/>
      <c r="M35" s="83"/>
      <c r="P35" s="83"/>
      <c r="S35" s="83"/>
    </row>
    <row r="36" spans="2:19">
      <c r="B36" s="83"/>
      <c r="M36" s="83"/>
      <c r="P36" s="83"/>
      <c r="S36" s="83"/>
    </row>
    <row r="37" spans="2:19">
      <c r="B37" s="83"/>
      <c r="M37" s="83"/>
      <c r="P37" s="83"/>
      <c r="S37" s="83"/>
    </row>
    <row r="38" spans="2:19">
      <c r="B38" s="87"/>
      <c r="M38" s="83"/>
      <c r="P38" s="83"/>
      <c r="S38" s="83"/>
    </row>
    <row r="39" spans="2:19">
      <c r="B39" s="83"/>
      <c r="K39" s="75"/>
      <c r="M39" s="83"/>
      <c r="P39" s="83"/>
      <c r="S39" s="83"/>
    </row>
    <row r="40" spans="2:19">
      <c r="B40" s="83"/>
      <c r="K40" s="75"/>
      <c r="M40" s="83"/>
      <c r="P40" s="83"/>
      <c r="S40" s="83"/>
    </row>
    <row r="41" spans="2:19">
      <c r="B41" s="83"/>
      <c r="K41" s="75"/>
      <c r="M41" s="83"/>
      <c r="P41" s="83"/>
      <c r="S41" s="83"/>
    </row>
    <row r="42" spans="2:19">
      <c r="B42" s="83"/>
      <c r="K42" s="75"/>
      <c r="M42" s="83"/>
      <c r="P42" s="83"/>
      <c r="S42" s="83"/>
    </row>
    <row r="43" spans="2:19">
      <c r="B43" s="83"/>
      <c r="M43" s="83"/>
      <c r="P43" s="83"/>
      <c r="S43" s="83"/>
    </row>
    <row r="44" spans="2:19">
      <c r="B44" s="83"/>
      <c r="M44" s="91"/>
      <c r="P44" s="91"/>
      <c r="S44" s="91"/>
    </row>
    <row r="45" spans="2:19" s="75" customFormat="1">
      <c r="B45" s="77"/>
      <c r="E45" s="78"/>
      <c r="F45" s="78"/>
      <c r="G45" s="78"/>
      <c r="M45" s="92"/>
      <c r="P45" s="92"/>
      <c r="S45" s="92"/>
    </row>
    <row r="46" spans="2:19" s="75" customFormat="1">
      <c r="B46" s="77"/>
      <c r="E46" s="78"/>
      <c r="F46" s="78"/>
      <c r="G46" s="78"/>
      <c r="K46" s="74"/>
      <c r="M46" s="91"/>
      <c r="P46" s="91"/>
      <c r="S46" s="91"/>
    </row>
    <row r="47" spans="2:19" s="75" customFormat="1">
      <c r="B47" s="83"/>
      <c r="C47" s="74"/>
      <c r="D47" s="74"/>
      <c r="E47" s="78"/>
      <c r="F47" s="78"/>
      <c r="G47" s="78"/>
      <c r="M47" s="77"/>
      <c r="P47" s="77"/>
      <c r="S47" s="77"/>
    </row>
    <row r="48" spans="2:19" s="75" customFormat="1">
      <c r="B48" s="83"/>
      <c r="C48" s="74"/>
      <c r="D48" s="74"/>
      <c r="E48" s="78"/>
      <c r="F48" s="78"/>
      <c r="G48" s="78"/>
      <c r="M48" s="77"/>
      <c r="P48" s="77"/>
      <c r="S48" s="77"/>
    </row>
    <row r="49" spans="2:19">
      <c r="B49" s="83"/>
      <c r="K49" s="75"/>
      <c r="M49" s="77"/>
      <c r="P49" s="77"/>
      <c r="S49" s="77"/>
    </row>
    <row r="50" spans="2:19">
      <c r="B50" s="83"/>
      <c r="K50" s="75"/>
      <c r="M50" s="83"/>
      <c r="P50" s="83"/>
      <c r="S50" s="83"/>
    </row>
    <row r="51" spans="2:19">
      <c r="B51" s="83"/>
      <c r="K51" s="75"/>
      <c r="M51" s="83"/>
      <c r="P51" s="83"/>
      <c r="S51" s="83"/>
    </row>
    <row r="52" spans="2:19">
      <c r="B52" s="83"/>
      <c r="M52" s="83"/>
      <c r="P52" s="83"/>
      <c r="S52" s="83"/>
    </row>
    <row r="53" spans="2:19">
      <c r="B53" s="83"/>
      <c r="M53" s="83"/>
      <c r="P53" s="83"/>
      <c r="S53" s="83"/>
    </row>
    <row r="54" spans="2:19">
      <c r="B54" s="83"/>
      <c r="M54" s="83"/>
      <c r="P54" s="83"/>
      <c r="S54" s="83"/>
    </row>
    <row r="55" spans="2:19">
      <c r="B55" s="83"/>
      <c r="M55" s="83"/>
      <c r="P55" s="83"/>
      <c r="S55" s="83"/>
    </row>
    <row r="56" spans="2:19">
      <c r="B56" s="83"/>
      <c r="M56" s="83"/>
      <c r="P56" s="83"/>
      <c r="S56" s="83"/>
    </row>
    <row r="57" spans="2:19">
      <c r="B57" s="83"/>
      <c r="M57" s="83"/>
      <c r="P57" s="83"/>
      <c r="S57" s="83"/>
    </row>
    <row r="58" spans="2:19">
      <c r="B58" s="83"/>
      <c r="M58" s="83"/>
      <c r="P58" s="83"/>
      <c r="S58" s="83"/>
    </row>
    <row r="59" spans="2:19">
      <c r="B59" s="83"/>
      <c r="M59" s="83"/>
      <c r="P59" s="83"/>
      <c r="S59" s="83"/>
    </row>
    <row r="60" spans="2:19">
      <c r="M60" s="83"/>
      <c r="P60" s="83"/>
      <c r="S60" s="83"/>
    </row>
    <row r="61" spans="2:19">
      <c r="M61" s="83"/>
      <c r="P61" s="83"/>
      <c r="S61" s="83"/>
    </row>
    <row r="62" spans="2:19">
      <c r="M62" s="83"/>
      <c r="P62" s="83"/>
      <c r="S62" s="83"/>
    </row>
  </sheetData>
  <pageMargins left="0.7" right="0.7" top="0.75" bottom="0.75" header="0.3" footer="0.3"/>
  <pageSetup orientation="portrait" horizontalDpi="203" verticalDpi="20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30EB-F0EF-4A9C-A603-58711A85E23F}">
  <dimension ref="A1:Q135"/>
  <sheetViews>
    <sheetView workbookViewId="0">
      <pane ySplit="2" topLeftCell="A3" activePane="bottomLeft" state="frozen"/>
      <selection pane="bottomLeft" activeCell="B16" sqref="B16"/>
    </sheetView>
  </sheetViews>
  <sheetFormatPr defaultColWidth="8.85546875" defaultRowHeight="15.95"/>
  <cols>
    <col min="1" max="1" width="14.140625" style="3" customWidth="1"/>
    <col min="2" max="2" width="44.28515625" style="3" customWidth="1"/>
    <col min="3" max="3" width="11.140625" style="3" customWidth="1"/>
    <col min="4" max="4" width="14.5703125" style="13" customWidth="1"/>
    <col min="5" max="5" width="2.140625" style="3" customWidth="1"/>
    <col min="6" max="6" width="14.5703125" style="13" customWidth="1"/>
    <col min="7" max="7" width="2.140625" style="3" customWidth="1"/>
    <col min="8" max="8" width="26.5703125" style="3" customWidth="1"/>
    <col min="9" max="9" width="2.42578125" style="3" customWidth="1"/>
    <col min="10" max="10" width="13.7109375" style="3" customWidth="1"/>
    <col min="11" max="11" width="2.7109375" style="3" customWidth="1"/>
    <col min="12" max="12" width="6.85546875" style="3" customWidth="1"/>
    <col min="13" max="13" width="11.42578125" style="3" customWidth="1"/>
    <col min="14" max="14" width="2.42578125" style="3" customWidth="1"/>
    <col min="15" max="15" width="15.5703125" style="3" customWidth="1"/>
    <col min="16" max="16" width="3.140625" style="3" customWidth="1"/>
    <col min="17" max="17" width="31" style="3" customWidth="1"/>
    <col min="18" max="16384" width="8.85546875" style="3"/>
  </cols>
  <sheetData>
    <row r="1" spans="1:17" s="5" customFormat="1">
      <c r="A1" s="5" t="s">
        <v>402</v>
      </c>
      <c r="D1" s="11"/>
      <c r="F1" s="11"/>
      <c r="L1" s="4"/>
    </row>
    <row r="2" spans="1:17" s="5" customFormat="1" ht="47.65">
      <c r="B2" s="5" t="s">
        <v>403</v>
      </c>
      <c r="C2" s="5" t="s">
        <v>214</v>
      </c>
      <c r="D2" s="12" t="s">
        <v>111</v>
      </c>
      <c r="F2" s="12" t="s">
        <v>68</v>
      </c>
      <c r="H2" s="6" t="s">
        <v>5</v>
      </c>
      <c r="I2" s="6"/>
      <c r="J2" s="7" t="s">
        <v>69</v>
      </c>
      <c r="L2" s="17"/>
      <c r="M2" s="7" t="s">
        <v>70</v>
      </c>
      <c r="O2" s="5" t="s">
        <v>71</v>
      </c>
      <c r="Q2" s="5" t="s">
        <v>404</v>
      </c>
    </row>
    <row r="3" spans="1:17" s="5" customFormat="1">
      <c r="A3" s="4" t="s">
        <v>73</v>
      </c>
      <c r="D3" s="11"/>
      <c r="F3" s="11"/>
    </row>
    <row r="4" spans="1:17">
      <c r="L4" s="1"/>
    </row>
    <row r="5" spans="1:17">
      <c r="B5" s="3" t="s">
        <v>112</v>
      </c>
      <c r="D5" s="13">
        <v>150</v>
      </c>
      <c r="L5" s="8" t="b">
        <v>0</v>
      </c>
    </row>
    <row r="6" spans="1:17">
      <c r="L6" s="8" t="b">
        <v>0</v>
      </c>
    </row>
    <row r="7" spans="1:17">
      <c r="A7" s="5" t="s">
        <v>405</v>
      </c>
      <c r="B7" s="5" t="s">
        <v>406</v>
      </c>
      <c r="L7" s="8" t="b">
        <v>0</v>
      </c>
    </row>
    <row r="8" spans="1:17">
      <c r="A8" s="3" t="s">
        <v>407</v>
      </c>
      <c r="B8" s="3" t="s">
        <v>408</v>
      </c>
      <c r="D8" s="13">
        <v>17450</v>
      </c>
      <c r="F8" s="13">
        <v>17400</v>
      </c>
      <c r="H8" s="3" t="s">
        <v>23</v>
      </c>
      <c r="J8" s="10"/>
      <c r="L8" s="8" t="b">
        <v>0</v>
      </c>
    </row>
    <row r="9" spans="1:17">
      <c r="B9" s="3" t="s">
        <v>409</v>
      </c>
      <c r="J9" s="10"/>
      <c r="L9" s="8" t="b">
        <v>0</v>
      </c>
    </row>
    <row r="10" spans="1:17" s="15" customFormat="1">
      <c r="B10" s="15" t="s">
        <v>410</v>
      </c>
      <c r="D10" s="33"/>
      <c r="F10" s="33"/>
      <c r="J10" s="35"/>
      <c r="L10" s="37" t="b">
        <v>0</v>
      </c>
    </row>
    <row r="11" spans="1:17">
      <c r="L11" s="8" t="b">
        <v>0</v>
      </c>
    </row>
    <row r="12" spans="1:17">
      <c r="A12" s="3" t="s">
        <v>411</v>
      </c>
      <c r="B12" s="3" t="s">
        <v>412</v>
      </c>
      <c r="D12" s="13">
        <v>4700</v>
      </c>
      <c r="F12" s="13">
        <v>1798</v>
      </c>
      <c r="H12" s="3" t="s">
        <v>413</v>
      </c>
      <c r="J12" s="10"/>
      <c r="L12" s="8" t="b">
        <v>0</v>
      </c>
    </row>
    <row r="13" spans="1:17">
      <c r="B13" s="3" t="s">
        <v>414</v>
      </c>
      <c r="J13" s="10"/>
      <c r="L13" s="8" t="b">
        <v>0</v>
      </c>
    </row>
    <row r="14" spans="1:17">
      <c r="B14" s="3" t="s">
        <v>415</v>
      </c>
      <c r="J14" s="10"/>
      <c r="L14" s="1"/>
    </row>
    <row r="15" spans="1:17">
      <c r="B15" s="3" t="s">
        <v>416</v>
      </c>
      <c r="H15" s="42">
        <v>1500</v>
      </c>
      <c r="J15" s="10"/>
      <c r="L15" s="1"/>
    </row>
    <row r="16" spans="1:17">
      <c r="B16" s="3" t="s">
        <v>417</v>
      </c>
      <c r="C16" s="3" t="s">
        <v>418</v>
      </c>
      <c r="D16" s="13">
        <v>1200</v>
      </c>
      <c r="F16" s="13">
        <v>261.3</v>
      </c>
      <c r="H16" s="3" t="s">
        <v>138</v>
      </c>
      <c r="J16" s="10">
        <v>45961</v>
      </c>
      <c r="L16" s="8" t="b">
        <v>0</v>
      </c>
    </row>
    <row r="17" spans="1:12">
      <c r="B17" s="3" t="s">
        <v>255</v>
      </c>
      <c r="L17" s="8" t="b">
        <v>0</v>
      </c>
    </row>
    <row r="18" spans="1:12">
      <c r="B18" s="3" t="s">
        <v>419</v>
      </c>
      <c r="L18" s="8" t="b">
        <v>0</v>
      </c>
    </row>
    <row r="19" spans="1:12">
      <c r="B19" s="3" t="s">
        <v>420</v>
      </c>
      <c r="D19" s="13">
        <v>650</v>
      </c>
      <c r="F19" s="13">
        <v>1041.9100000000001</v>
      </c>
      <c r="H19" s="3" t="s">
        <v>7</v>
      </c>
      <c r="J19" s="10">
        <v>45978</v>
      </c>
      <c r="L19" s="8" t="b">
        <v>0</v>
      </c>
    </row>
    <row r="20" spans="1:12">
      <c r="B20" s="3" t="s">
        <v>208</v>
      </c>
      <c r="F20" s="13">
        <f>44.25*10%+44.25</f>
        <v>48.674999999999997</v>
      </c>
      <c r="H20" s="3" t="s">
        <v>7</v>
      </c>
      <c r="J20" s="10">
        <v>45978</v>
      </c>
      <c r="L20" s="8" t="b">
        <v>0</v>
      </c>
    </row>
    <row r="21" spans="1:12">
      <c r="B21" s="3" t="s">
        <v>206</v>
      </c>
      <c r="D21" s="13">
        <v>500</v>
      </c>
      <c r="F21" s="13">
        <f>393*10%+393</f>
        <v>432.3</v>
      </c>
      <c r="H21" s="3" t="s">
        <v>89</v>
      </c>
      <c r="J21" s="10">
        <v>45978</v>
      </c>
      <c r="L21" s="8" t="b">
        <v>0</v>
      </c>
    </row>
    <row r="22" spans="1:12">
      <c r="B22" s="3" t="s">
        <v>421</v>
      </c>
      <c r="F22" s="13">
        <f>138.86*10%+138.86</f>
        <v>152.74600000000001</v>
      </c>
      <c r="H22" s="3" t="s">
        <v>89</v>
      </c>
      <c r="J22" s="10">
        <v>45978</v>
      </c>
      <c r="L22" s="8" t="b">
        <v>0</v>
      </c>
    </row>
    <row r="23" spans="1:12">
      <c r="B23" s="3" t="s">
        <v>422</v>
      </c>
      <c r="F23" s="13">
        <v>364.34</v>
      </c>
      <c r="H23" s="3" t="s">
        <v>423</v>
      </c>
      <c r="J23" s="10">
        <v>45978</v>
      </c>
      <c r="L23" s="8" t="b">
        <v>0</v>
      </c>
    </row>
    <row r="24" spans="1:12" s="5" customFormat="1">
      <c r="B24" s="5" t="s">
        <v>424</v>
      </c>
      <c r="D24" s="11"/>
      <c r="F24" s="11"/>
      <c r="L24" s="66" t="b">
        <v>0</v>
      </c>
    </row>
    <row r="25" spans="1:12" s="5" customFormat="1">
      <c r="D25" s="11"/>
      <c r="F25" s="11"/>
      <c r="L25" s="66" t="b">
        <v>0</v>
      </c>
    </row>
    <row r="26" spans="1:12">
      <c r="A26" s="3" t="s">
        <v>366</v>
      </c>
      <c r="B26" s="3" t="s">
        <v>425</v>
      </c>
      <c r="D26" s="13">
        <v>1410</v>
      </c>
      <c r="F26" s="13">
        <v>926.21</v>
      </c>
      <c r="H26" s="3" t="s">
        <v>138</v>
      </c>
      <c r="J26" s="10">
        <v>45961</v>
      </c>
      <c r="L26" s="8" t="b">
        <v>0</v>
      </c>
    </row>
    <row r="27" spans="1:12" s="15" customFormat="1">
      <c r="B27" s="15" t="s">
        <v>426</v>
      </c>
      <c r="C27" s="15" t="s">
        <v>427</v>
      </c>
      <c r="D27" s="33"/>
      <c r="F27" s="33"/>
      <c r="J27" s="35"/>
      <c r="L27" s="37" t="b">
        <v>0</v>
      </c>
    </row>
    <row r="28" spans="1:12">
      <c r="B28" s="3" t="s">
        <v>428</v>
      </c>
      <c r="J28" s="10"/>
      <c r="L28" s="8" t="b">
        <v>0</v>
      </c>
    </row>
    <row r="29" spans="1:12">
      <c r="J29" s="10"/>
      <c r="L29" s="8" t="b">
        <v>0</v>
      </c>
    </row>
    <row r="30" spans="1:12">
      <c r="L30" s="1"/>
    </row>
    <row r="31" spans="1:12">
      <c r="A31" s="3" t="s">
        <v>301</v>
      </c>
      <c r="B31" s="3" t="s">
        <v>429</v>
      </c>
      <c r="J31" s="10"/>
      <c r="L31" s="8" t="b">
        <v>0</v>
      </c>
    </row>
    <row r="32" spans="1:12">
      <c r="B32" s="3" t="s">
        <v>430</v>
      </c>
      <c r="J32" s="10"/>
      <c r="L32" s="8" t="b">
        <v>0</v>
      </c>
    </row>
    <row r="33" spans="1:12">
      <c r="B33" s="3" t="s">
        <v>431</v>
      </c>
      <c r="F33" s="13">
        <v>249.73</v>
      </c>
      <c r="H33" s="3" t="s">
        <v>432</v>
      </c>
      <c r="J33" s="10">
        <v>45996</v>
      </c>
      <c r="L33" s="8" t="b">
        <v>0</v>
      </c>
    </row>
    <row r="34" spans="1:12">
      <c r="J34" s="10"/>
      <c r="L34" s="8" t="b">
        <v>0</v>
      </c>
    </row>
    <row r="35" spans="1:12">
      <c r="A35" s="5" t="s">
        <v>433</v>
      </c>
      <c r="B35" s="5" t="s">
        <v>434</v>
      </c>
      <c r="J35" s="10"/>
      <c r="L35" s="8" t="b">
        <v>0</v>
      </c>
    </row>
    <row r="36" spans="1:12">
      <c r="A36" s="5"/>
      <c r="B36" s="3" t="s">
        <v>435</v>
      </c>
      <c r="H36" s="3" t="s">
        <v>23</v>
      </c>
      <c r="J36" s="10"/>
      <c r="L36" s="8" t="b">
        <v>0</v>
      </c>
    </row>
    <row r="37" spans="1:12">
      <c r="A37" s="5"/>
      <c r="B37" s="3" t="s">
        <v>436</v>
      </c>
      <c r="H37" s="3" t="s">
        <v>437</v>
      </c>
      <c r="J37" s="10"/>
      <c r="L37" s="8" t="b">
        <v>0</v>
      </c>
    </row>
    <row r="38" spans="1:12" s="15" customFormat="1">
      <c r="A38" s="38"/>
      <c r="B38" s="15" t="s">
        <v>438</v>
      </c>
      <c r="D38" s="33"/>
      <c r="F38" s="33"/>
      <c r="J38" s="35"/>
      <c r="L38" s="37" t="b">
        <v>0</v>
      </c>
    </row>
    <row r="39" spans="1:12">
      <c r="A39" s="5"/>
      <c r="B39" s="3" t="s">
        <v>439</v>
      </c>
      <c r="J39" s="10"/>
      <c r="L39" s="8" t="b">
        <v>0</v>
      </c>
    </row>
    <row r="40" spans="1:12">
      <c r="A40" s="5"/>
      <c r="B40" s="3" t="s">
        <v>440</v>
      </c>
      <c r="J40" s="10"/>
      <c r="L40" s="8" t="b">
        <v>0</v>
      </c>
    </row>
    <row r="41" spans="1:12">
      <c r="J41" s="10"/>
      <c r="L41" s="8" t="b">
        <v>0</v>
      </c>
    </row>
    <row r="42" spans="1:12">
      <c r="A42" s="5" t="s">
        <v>441</v>
      </c>
      <c r="B42" s="5" t="s">
        <v>442</v>
      </c>
      <c r="J42" s="10"/>
      <c r="L42" s="8" t="b">
        <v>0</v>
      </c>
    </row>
    <row r="43" spans="1:12">
      <c r="A43" s="3" t="s">
        <v>366</v>
      </c>
      <c r="B43" s="3" t="s">
        <v>443</v>
      </c>
      <c r="D43" s="13">
        <v>650</v>
      </c>
      <c r="F43" s="13">
        <f>280.6*10%+280.6</f>
        <v>308.66000000000003</v>
      </c>
      <c r="H43" s="3" t="s">
        <v>138</v>
      </c>
      <c r="J43" s="10">
        <v>45961</v>
      </c>
      <c r="L43" s="8" t="b">
        <v>0</v>
      </c>
    </row>
    <row r="44" spans="1:12">
      <c r="B44" s="3" t="s">
        <v>444</v>
      </c>
      <c r="F44" s="13">
        <f>63.93*10%+63.93</f>
        <v>70.323000000000008</v>
      </c>
      <c r="H44" s="3" t="s">
        <v>138</v>
      </c>
      <c r="J44" s="10">
        <v>45961</v>
      </c>
      <c r="L44" s="8" t="b">
        <v>0</v>
      </c>
    </row>
    <row r="45" spans="1:12">
      <c r="J45" s="10"/>
      <c r="L45" s="1"/>
    </row>
    <row r="46" spans="1:12">
      <c r="A46" s="3" t="s">
        <v>445</v>
      </c>
      <c r="B46" s="3" t="s">
        <v>446</v>
      </c>
      <c r="D46" s="13">
        <v>1600</v>
      </c>
      <c r="F46" s="13">
        <v>1049</v>
      </c>
      <c r="H46" s="3" t="s">
        <v>447</v>
      </c>
      <c r="J46" s="10"/>
      <c r="L46" s="8" t="b">
        <v>0</v>
      </c>
    </row>
    <row r="47" spans="1:12">
      <c r="B47" s="3" t="s">
        <v>448</v>
      </c>
      <c r="D47" s="13">
        <v>1100</v>
      </c>
      <c r="F47" s="13">
        <v>324.60000000000002</v>
      </c>
      <c r="H47" s="3" t="s">
        <v>449</v>
      </c>
      <c r="J47" s="10">
        <v>45979</v>
      </c>
      <c r="L47" s="8" t="b">
        <v>0</v>
      </c>
    </row>
    <row r="48" spans="1:12">
      <c r="B48" s="3" t="s">
        <v>270</v>
      </c>
      <c r="D48" s="13">
        <v>1000</v>
      </c>
      <c r="F48" s="13">
        <v>850.51</v>
      </c>
      <c r="H48" s="3" t="s">
        <v>7</v>
      </c>
      <c r="J48" s="10">
        <v>45978</v>
      </c>
      <c r="L48" s="8" t="b">
        <v>0</v>
      </c>
    </row>
    <row r="49" spans="1:12">
      <c r="J49" s="10"/>
      <c r="L49" s="1"/>
    </row>
    <row r="50" spans="1:12">
      <c r="A50" s="3" t="s">
        <v>262</v>
      </c>
      <c r="B50" s="3" t="s">
        <v>408</v>
      </c>
      <c r="D50" s="13">
        <v>2100</v>
      </c>
      <c r="F50" s="13">
        <v>2100</v>
      </c>
      <c r="H50" s="3" t="s">
        <v>23</v>
      </c>
      <c r="J50" s="10"/>
      <c r="L50" s="8" t="b">
        <v>0</v>
      </c>
    </row>
    <row r="51" spans="1:12" s="15" customFormat="1">
      <c r="B51" s="15" t="s">
        <v>410</v>
      </c>
      <c r="D51" s="33"/>
      <c r="F51" s="33"/>
      <c r="J51" s="35"/>
      <c r="L51" s="37" t="b">
        <v>0</v>
      </c>
    </row>
    <row r="52" spans="1:12">
      <c r="B52" s="3" t="s">
        <v>450</v>
      </c>
      <c r="D52" s="13">
        <v>850</v>
      </c>
      <c r="F52" s="13">
        <v>2000</v>
      </c>
      <c r="H52" s="3" t="s">
        <v>413</v>
      </c>
      <c r="J52" s="10"/>
      <c r="L52" s="8" t="b">
        <v>0</v>
      </c>
    </row>
    <row r="53" spans="1:12">
      <c r="B53" s="3" t="s">
        <v>82</v>
      </c>
      <c r="C53" s="3" t="s">
        <v>144</v>
      </c>
      <c r="D53" s="13">
        <v>350</v>
      </c>
      <c r="F53" s="13">
        <v>119.79</v>
      </c>
      <c r="H53" s="3" t="s">
        <v>6</v>
      </c>
      <c r="J53" s="10">
        <v>45974</v>
      </c>
      <c r="L53" s="8" t="b">
        <v>0</v>
      </c>
    </row>
    <row r="54" spans="1:12">
      <c r="B54" s="3" t="s">
        <v>206</v>
      </c>
      <c r="C54" s="3" t="s">
        <v>451</v>
      </c>
      <c r="D54" s="13">
        <v>400</v>
      </c>
      <c r="F54" s="13">
        <f>319.48*10%+319.48</f>
        <v>351.428</v>
      </c>
      <c r="H54" s="3" t="s">
        <v>452</v>
      </c>
      <c r="J54" s="10">
        <v>45974</v>
      </c>
      <c r="L54" s="8" t="b">
        <v>0</v>
      </c>
    </row>
    <row r="55" spans="1:12">
      <c r="B55" s="3" t="s">
        <v>453</v>
      </c>
      <c r="D55" s="13">
        <v>350</v>
      </c>
      <c r="F55" s="13">
        <v>89.96</v>
      </c>
      <c r="H55" s="3" t="s">
        <v>454</v>
      </c>
      <c r="J55" s="10">
        <v>45982</v>
      </c>
      <c r="L55" s="8" t="b">
        <v>0</v>
      </c>
    </row>
    <row r="56" spans="1:12">
      <c r="B56" s="3" t="s">
        <v>455</v>
      </c>
      <c r="F56" s="13">
        <v>142.56</v>
      </c>
      <c r="H56" s="3" t="s">
        <v>454</v>
      </c>
      <c r="J56" s="10">
        <v>45982</v>
      </c>
      <c r="L56" s="8" t="b">
        <v>0</v>
      </c>
    </row>
    <row r="57" spans="1:12">
      <c r="B57" s="3" t="s">
        <v>456</v>
      </c>
      <c r="D57" s="13">
        <v>400</v>
      </c>
      <c r="F57" s="13">
        <v>439.3</v>
      </c>
      <c r="H57" s="3" t="s">
        <v>7</v>
      </c>
      <c r="J57" s="10">
        <v>45996</v>
      </c>
      <c r="L57" s="8" t="b">
        <v>0</v>
      </c>
    </row>
    <row r="58" spans="1:12">
      <c r="B58" s="3" t="s">
        <v>457</v>
      </c>
      <c r="C58" s="3" t="s">
        <v>458</v>
      </c>
      <c r="D58" s="13">
        <v>400</v>
      </c>
      <c r="F58" s="13">
        <f>98.2*10%+98.2</f>
        <v>108.02000000000001</v>
      </c>
      <c r="H58" s="3" t="s">
        <v>89</v>
      </c>
      <c r="J58" s="10">
        <v>45974</v>
      </c>
      <c r="L58" s="8" t="b">
        <v>0</v>
      </c>
    </row>
    <row r="59" spans="1:12">
      <c r="B59" s="3" t="s">
        <v>459</v>
      </c>
      <c r="C59" s="3" t="s">
        <v>273</v>
      </c>
      <c r="F59" s="13">
        <f>114.56*10%+114.56</f>
        <v>126.01600000000001</v>
      </c>
      <c r="H59" s="3" t="s">
        <v>89</v>
      </c>
      <c r="J59" s="10">
        <v>45974</v>
      </c>
      <c r="L59" s="8" t="b">
        <v>0</v>
      </c>
    </row>
    <row r="60" spans="1:12">
      <c r="B60" s="3" t="s">
        <v>460</v>
      </c>
      <c r="C60" s="3" t="s">
        <v>461</v>
      </c>
      <c r="F60" s="13">
        <f>122.15*10%+122.15</f>
        <v>134.36500000000001</v>
      </c>
      <c r="H60" s="3" t="s">
        <v>6</v>
      </c>
      <c r="J60" s="10">
        <v>45974</v>
      </c>
      <c r="L60" s="8" t="b">
        <v>0</v>
      </c>
    </row>
    <row r="61" spans="1:12">
      <c r="B61" s="3" t="s">
        <v>462</v>
      </c>
      <c r="C61" s="3" t="s">
        <v>463</v>
      </c>
      <c r="F61" s="13">
        <f>60.53*10%+60.53</f>
        <v>66.582999999999998</v>
      </c>
      <c r="H61" s="3" t="s">
        <v>6</v>
      </c>
      <c r="J61" s="10">
        <v>45974</v>
      </c>
      <c r="L61" s="8" t="b">
        <v>0</v>
      </c>
    </row>
    <row r="62" spans="1:12">
      <c r="B62" s="3" t="s">
        <v>464</v>
      </c>
      <c r="C62" s="3" t="s">
        <v>465</v>
      </c>
      <c r="F62" s="13">
        <f>47.5*0%+47.5</f>
        <v>47.5</v>
      </c>
      <c r="H62" s="3" t="s">
        <v>6</v>
      </c>
      <c r="J62" s="10">
        <v>45974</v>
      </c>
      <c r="L62" s="8" t="b">
        <v>0</v>
      </c>
    </row>
    <row r="63" spans="1:12">
      <c r="B63" s="3" t="s">
        <v>466</v>
      </c>
      <c r="C63" s="3" t="s">
        <v>467</v>
      </c>
      <c r="F63" s="13">
        <f>92.94*10%+92.94</f>
        <v>102.23399999999999</v>
      </c>
      <c r="H63" s="3" t="s">
        <v>89</v>
      </c>
      <c r="J63" s="10">
        <v>45974</v>
      </c>
      <c r="L63" s="8" t="b">
        <v>0</v>
      </c>
    </row>
    <row r="64" spans="1:12">
      <c r="B64" s="3" t="s">
        <v>468</v>
      </c>
      <c r="C64" s="3" t="s">
        <v>469</v>
      </c>
      <c r="F64" s="13">
        <f>42.62*10%+42.62</f>
        <v>46.881999999999998</v>
      </c>
      <c r="H64" s="3" t="s">
        <v>89</v>
      </c>
      <c r="J64" s="10">
        <v>45974</v>
      </c>
      <c r="L64" s="8" t="b">
        <v>0</v>
      </c>
    </row>
    <row r="65" spans="1:12">
      <c r="B65" s="3" t="s">
        <v>90</v>
      </c>
      <c r="C65" s="3" t="s">
        <v>470</v>
      </c>
      <c r="F65" s="13">
        <f>31.97*10%+31.97</f>
        <v>35.167000000000002</v>
      </c>
      <c r="H65" s="3" t="s">
        <v>89</v>
      </c>
      <c r="J65" s="10">
        <v>45974</v>
      </c>
      <c r="L65" s="8" t="b">
        <v>0</v>
      </c>
    </row>
    <row r="66" spans="1:12">
      <c r="B66" s="3" t="s">
        <v>471</v>
      </c>
      <c r="C66" s="3" t="s">
        <v>472</v>
      </c>
      <c r="F66" s="13">
        <f>54.18*10%+54.18</f>
        <v>59.597999999999999</v>
      </c>
      <c r="H66" s="3" t="s">
        <v>89</v>
      </c>
      <c r="J66" s="10">
        <v>45974</v>
      </c>
      <c r="L66" s="8" t="b">
        <v>0</v>
      </c>
    </row>
    <row r="67" spans="1:12">
      <c r="B67" s="3" t="s">
        <v>473</v>
      </c>
      <c r="C67" s="3" t="s">
        <v>86</v>
      </c>
      <c r="F67" s="13">
        <f>379*10%+379</f>
        <v>416.9</v>
      </c>
      <c r="H67" s="3" t="s">
        <v>89</v>
      </c>
      <c r="J67" s="10">
        <v>45974</v>
      </c>
      <c r="L67" s="8" t="b">
        <v>0</v>
      </c>
    </row>
    <row r="68" spans="1:12">
      <c r="J68" s="10"/>
      <c r="L68" s="8" t="b">
        <v>0</v>
      </c>
    </row>
    <row r="69" spans="1:12">
      <c r="J69" s="10"/>
      <c r="L69" s="1"/>
    </row>
    <row r="70" spans="1:12">
      <c r="J70" s="10"/>
      <c r="L70" s="1"/>
    </row>
    <row r="71" spans="1:12">
      <c r="A71" s="5" t="s">
        <v>474</v>
      </c>
      <c r="B71" s="5" t="s">
        <v>475</v>
      </c>
      <c r="J71" s="10"/>
      <c r="L71" s="1"/>
    </row>
    <row r="72" spans="1:12">
      <c r="A72" s="3" t="s">
        <v>366</v>
      </c>
      <c r="B72" s="3" t="s">
        <v>476</v>
      </c>
      <c r="C72" s="3" t="s">
        <v>477</v>
      </c>
      <c r="D72" s="13">
        <v>950</v>
      </c>
      <c r="F72" s="13">
        <v>463.11</v>
      </c>
      <c r="H72" s="3" t="s">
        <v>138</v>
      </c>
      <c r="J72" s="10"/>
      <c r="L72" s="8" t="b">
        <v>0</v>
      </c>
    </row>
    <row r="73" spans="1:12">
      <c r="B73" s="3" t="s">
        <v>444</v>
      </c>
      <c r="F73" s="13">
        <f>62.93*10%+62.93</f>
        <v>69.222999999999999</v>
      </c>
      <c r="H73" s="3" t="s">
        <v>138</v>
      </c>
      <c r="J73" s="10"/>
      <c r="L73" s="8" t="b">
        <v>0</v>
      </c>
    </row>
    <row r="74" spans="1:12">
      <c r="J74" s="10"/>
      <c r="L74" s="1"/>
    </row>
    <row r="75" spans="1:12">
      <c r="A75" s="3" t="s">
        <v>478</v>
      </c>
      <c r="B75" s="3" t="s">
        <v>479</v>
      </c>
      <c r="D75" s="13">
        <v>950</v>
      </c>
      <c r="J75" s="10"/>
      <c r="L75" s="8" t="b">
        <v>0</v>
      </c>
    </row>
    <row r="76" spans="1:12">
      <c r="B76" s="3" t="s">
        <v>480</v>
      </c>
      <c r="J76" s="10"/>
      <c r="L76" s="8" t="b">
        <v>0</v>
      </c>
    </row>
    <row r="77" spans="1:12">
      <c r="B77" s="3" t="s">
        <v>481</v>
      </c>
      <c r="C77" s="3" t="s">
        <v>482</v>
      </c>
      <c r="F77" s="13">
        <v>72.260000000000005</v>
      </c>
      <c r="H77" s="3" t="s">
        <v>12</v>
      </c>
      <c r="J77" s="10"/>
      <c r="L77" s="8" t="b">
        <v>0</v>
      </c>
    </row>
    <row r="78" spans="1:12">
      <c r="B78" s="3" t="s">
        <v>460</v>
      </c>
      <c r="C78" s="3" t="s">
        <v>461</v>
      </c>
      <c r="D78" s="13">
        <v>400</v>
      </c>
      <c r="F78" s="13">
        <f>122.15*10%+122.15</f>
        <v>134.36500000000001</v>
      </c>
      <c r="H78" s="3" t="s">
        <v>6</v>
      </c>
      <c r="J78" s="10">
        <v>45974</v>
      </c>
      <c r="L78" s="8" t="b">
        <v>0</v>
      </c>
    </row>
    <row r="79" spans="1:12">
      <c r="B79" s="3" t="s">
        <v>462</v>
      </c>
      <c r="C79" s="3" t="s">
        <v>463</v>
      </c>
      <c r="F79" s="13">
        <f>60.53*10%+60.53</f>
        <v>66.582999999999998</v>
      </c>
      <c r="H79" s="3" t="s">
        <v>6</v>
      </c>
      <c r="J79" s="10">
        <v>45974</v>
      </c>
      <c r="L79" s="8" t="b">
        <v>0</v>
      </c>
    </row>
    <row r="80" spans="1:12">
      <c r="B80" s="3" t="s">
        <v>26</v>
      </c>
      <c r="C80" s="3" t="s">
        <v>483</v>
      </c>
      <c r="F80" s="13">
        <f>145.68*10%+145.68</f>
        <v>160.24800000000002</v>
      </c>
      <c r="H80" s="3" t="s">
        <v>89</v>
      </c>
      <c r="J80" s="10">
        <v>45974</v>
      </c>
      <c r="L80" s="8" t="b">
        <v>0</v>
      </c>
    </row>
    <row r="81" spans="1:12">
      <c r="B81" s="3" t="s">
        <v>459</v>
      </c>
      <c r="C81" s="3" t="s">
        <v>273</v>
      </c>
      <c r="F81" s="13">
        <f>114.56*10%+114.56</f>
        <v>126.01600000000001</v>
      </c>
      <c r="H81" s="3" t="s">
        <v>89</v>
      </c>
      <c r="J81" s="10">
        <v>45974</v>
      </c>
      <c r="L81" s="8" t="b">
        <v>0</v>
      </c>
    </row>
    <row r="82" spans="1:12">
      <c r="B82" s="3" t="s">
        <v>464</v>
      </c>
      <c r="C82" s="3" t="s">
        <v>465</v>
      </c>
      <c r="F82" s="13">
        <f>47.5*0%+47.5</f>
        <v>47.5</v>
      </c>
      <c r="H82" s="3" t="s">
        <v>6</v>
      </c>
      <c r="J82" s="10">
        <v>45974</v>
      </c>
      <c r="L82" s="8" t="b">
        <v>0</v>
      </c>
    </row>
    <row r="83" spans="1:12">
      <c r="B83" s="3" t="s">
        <v>484</v>
      </c>
      <c r="C83" s="3" t="s">
        <v>86</v>
      </c>
      <c r="F83" s="13">
        <f>379*10%+379</f>
        <v>416.9</v>
      </c>
      <c r="H83" s="3" t="s">
        <v>89</v>
      </c>
      <c r="J83" s="10">
        <v>45974</v>
      </c>
      <c r="L83" s="8" t="b">
        <v>0</v>
      </c>
    </row>
    <row r="84" spans="1:12">
      <c r="B84" s="3" t="s">
        <v>485</v>
      </c>
      <c r="C84" s="3" t="s">
        <v>486</v>
      </c>
      <c r="F84" s="13">
        <v>0</v>
      </c>
      <c r="H84" s="3" t="s">
        <v>6</v>
      </c>
      <c r="J84" s="10">
        <v>45974</v>
      </c>
      <c r="L84" s="8" t="b">
        <v>0</v>
      </c>
    </row>
    <row r="85" spans="1:12">
      <c r="B85" s="3" t="s">
        <v>487</v>
      </c>
      <c r="C85" s="3" t="s">
        <v>488</v>
      </c>
      <c r="F85" s="13">
        <v>0</v>
      </c>
      <c r="H85" s="3" t="s">
        <v>6</v>
      </c>
      <c r="J85" s="10">
        <v>45974</v>
      </c>
      <c r="L85" s="8" t="b">
        <v>0</v>
      </c>
    </row>
    <row r="86" spans="1:12">
      <c r="J86" s="10"/>
      <c r="L86" s="8" t="b">
        <v>0</v>
      </c>
    </row>
    <row r="87" spans="1:12">
      <c r="A87" s="3" t="s">
        <v>262</v>
      </c>
      <c r="B87" s="3" t="s">
        <v>408</v>
      </c>
      <c r="D87" s="13">
        <v>2100</v>
      </c>
      <c r="F87" s="13">
        <v>2100</v>
      </c>
      <c r="H87" s="3" t="s">
        <v>23</v>
      </c>
      <c r="J87" s="10"/>
      <c r="L87" s="8" t="b">
        <v>0</v>
      </c>
    </row>
    <row r="88" spans="1:12">
      <c r="B88" s="3" t="s">
        <v>410</v>
      </c>
      <c r="F88" s="13">
        <v>37.299999999999997</v>
      </c>
      <c r="H88" s="3" t="s">
        <v>7</v>
      </c>
      <c r="J88" s="10">
        <v>45996</v>
      </c>
      <c r="L88" s="8" t="b">
        <v>0</v>
      </c>
    </row>
    <row r="89" spans="1:12">
      <c r="B89" s="3" t="s">
        <v>82</v>
      </c>
      <c r="C89" s="3" t="s">
        <v>144</v>
      </c>
      <c r="D89" s="13">
        <v>350</v>
      </c>
      <c r="F89" s="13">
        <v>119.79</v>
      </c>
      <c r="H89" s="3" t="s">
        <v>6</v>
      </c>
      <c r="J89" s="10">
        <v>45974</v>
      </c>
      <c r="L89" s="8" t="b">
        <v>0</v>
      </c>
    </row>
    <row r="90" spans="1:12">
      <c r="B90" s="3" t="s">
        <v>206</v>
      </c>
      <c r="C90" s="3" t="s">
        <v>489</v>
      </c>
      <c r="D90" s="13">
        <v>400</v>
      </c>
      <c r="F90" s="13">
        <f>212.06*10%+212.06</f>
        <v>233.26600000000002</v>
      </c>
      <c r="H90" s="3" t="s">
        <v>89</v>
      </c>
      <c r="J90" s="10">
        <v>45974</v>
      </c>
      <c r="L90" s="8" t="b">
        <v>0</v>
      </c>
    </row>
    <row r="91" spans="1:12">
      <c r="B91" s="3" t="s">
        <v>453</v>
      </c>
      <c r="D91" s="13">
        <v>350</v>
      </c>
      <c r="F91" s="13">
        <v>280.06</v>
      </c>
      <c r="H91" s="3" t="s">
        <v>490</v>
      </c>
      <c r="J91" s="10">
        <v>45982</v>
      </c>
      <c r="L91" s="8" t="b">
        <v>0</v>
      </c>
    </row>
    <row r="92" spans="1:12">
      <c r="B92" s="3" t="s">
        <v>455</v>
      </c>
      <c r="F92" s="13">
        <v>91.8</v>
      </c>
      <c r="H92" s="3" t="s">
        <v>490</v>
      </c>
      <c r="J92" s="10">
        <v>45982</v>
      </c>
      <c r="L92" s="8" t="b">
        <v>0</v>
      </c>
    </row>
    <row r="93" spans="1:12">
      <c r="B93" s="3" t="s">
        <v>491</v>
      </c>
      <c r="D93" s="13">
        <v>850</v>
      </c>
      <c r="F93" s="13">
        <v>1800</v>
      </c>
      <c r="H93" s="3" t="s">
        <v>413</v>
      </c>
      <c r="J93" s="10"/>
      <c r="L93" s="8" t="b">
        <v>0</v>
      </c>
    </row>
    <row r="94" spans="1:12">
      <c r="B94" s="3" t="s">
        <v>492</v>
      </c>
      <c r="D94" s="13">
        <v>400</v>
      </c>
      <c r="J94" s="10"/>
      <c r="L94" s="8" t="b">
        <v>0</v>
      </c>
    </row>
    <row r="95" spans="1:12">
      <c r="L95" s="8" t="b">
        <v>0</v>
      </c>
    </row>
    <row r="96" spans="1:12">
      <c r="B96" s="3" t="s">
        <v>466</v>
      </c>
      <c r="C96" s="3" t="s">
        <v>467</v>
      </c>
      <c r="F96" s="13">
        <f>92.94*10%+92.94</f>
        <v>102.23399999999999</v>
      </c>
      <c r="H96" s="3" t="s">
        <v>89</v>
      </c>
      <c r="J96" s="10">
        <v>45974</v>
      </c>
      <c r="L96" s="8" t="b">
        <v>0</v>
      </c>
    </row>
    <row r="97" spans="1:12">
      <c r="B97" s="3" t="s">
        <v>468</v>
      </c>
      <c r="C97" s="3" t="s">
        <v>493</v>
      </c>
      <c r="F97" s="13">
        <f>46.21*10%+46.21</f>
        <v>50.831000000000003</v>
      </c>
      <c r="H97" s="3" t="s">
        <v>6</v>
      </c>
      <c r="J97" s="10">
        <v>45974</v>
      </c>
      <c r="L97" s="8" t="b">
        <v>0</v>
      </c>
    </row>
    <row r="98" spans="1:12">
      <c r="B98" s="3" t="s">
        <v>494</v>
      </c>
      <c r="C98" s="3" t="s">
        <v>495</v>
      </c>
      <c r="F98" s="13">
        <f>168.33*10%+168.33</f>
        <v>185.16300000000001</v>
      </c>
      <c r="H98" s="3" t="s">
        <v>6</v>
      </c>
      <c r="J98" s="10">
        <v>45974</v>
      </c>
      <c r="L98" s="8" t="b">
        <v>0</v>
      </c>
    </row>
    <row r="99" spans="1:12">
      <c r="J99" s="10"/>
      <c r="L99" s="8" t="b">
        <v>0</v>
      </c>
    </row>
    <row r="100" spans="1:12">
      <c r="B100" s="3" t="s">
        <v>496</v>
      </c>
      <c r="D100" s="13">
        <v>1600</v>
      </c>
      <c r="F100" s="13">
        <v>1049</v>
      </c>
      <c r="H100" s="3" t="s">
        <v>497</v>
      </c>
      <c r="L100" s="8" t="b">
        <v>0</v>
      </c>
    </row>
    <row r="101" spans="1:12" s="5" customFormat="1">
      <c r="B101" s="3"/>
      <c r="C101" s="3"/>
      <c r="D101" s="13"/>
      <c r="F101" s="13"/>
      <c r="L101" s="8" t="b">
        <v>0</v>
      </c>
    </row>
    <row r="102" spans="1:12" s="5" customFormat="1">
      <c r="B102" s="3"/>
      <c r="C102" s="3"/>
      <c r="D102" s="13"/>
      <c r="F102" s="13"/>
      <c r="L102" s="8" t="b">
        <v>0</v>
      </c>
    </row>
    <row r="103" spans="1:12" s="5" customFormat="1">
      <c r="A103" s="5" t="s">
        <v>498</v>
      </c>
      <c r="B103" s="3" t="s">
        <v>499</v>
      </c>
      <c r="C103" s="111">
        <v>22281.01</v>
      </c>
      <c r="D103" s="13"/>
      <c r="F103" s="13"/>
      <c r="L103" s="8" t="b">
        <v>0</v>
      </c>
    </row>
    <row r="104" spans="1:12" s="5" customFormat="1">
      <c r="B104" s="3" t="s">
        <v>500</v>
      </c>
      <c r="C104" s="42">
        <v>877.5</v>
      </c>
      <c r="D104" s="13"/>
      <c r="F104" s="13"/>
      <c r="L104" s="8" t="b">
        <v>0</v>
      </c>
    </row>
    <row r="105" spans="1:12" s="5" customFormat="1">
      <c r="B105" s="3" t="s">
        <v>501</v>
      </c>
      <c r="C105" s="42">
        <v>7166</v>
      </c>
      <c r="D105" s="13"/>
      <c r="F105" s="13"/>
      <c r="L105" s="8" t="b">
        <v>0</v>
      </c>
    </row>
    <row r="106" spans="1:12" s="5" customFormat="1">
      <c r="B106" s="3" t="s">
        <v>502</v>
      </c>
      <c r="C106" s="42">
        <v>8402</v>
      </c>
      <c r="D106" s="13"/>
      <c r="F106" s="13"/>
      <c r="L106" s="8" t="b">
        <v>0</v>
      </c>
    </row>
    <row r="107" spans="1:12" s="5" customFormat="1">
      <c r="B107" s="3" t="s">
        <v>503</v>
      </c>
      <c r="C107" s="42">
        <v>5647</v>
      </c>
      <c r="D107" s="13"/>
      <c r="F107" s="13"/>
      <c r="L107" s="8" t="b">
        <v>0</v>
      </c>
    </row>
    <row r="108" spans="1:12" s="100" customFormat="1">
      <c r="A108" s="100" t="s">
        <v>504</v>
      </c>
      <c r="B108" s="101" t="s">
        <v>505</v>
      </c>
      <c r="C108" s="43">
        <v>1990</v>
      </c>
      <c r="D108" s="102"/>
      <c r="F108" s="102"/>
      <c r="L108" s="103" t="b">
        <v>0</v>
      </c>
    </row>
    <row r="109" spans="1:12" s="100" customFormat="1">
      <c r="A109" s="100" t="s">
        <v>504</v>
      </c>
      <c r="B109" s="101" t="s">
        <v>506</v>
      </c>
      <c r="C109" s="43">
        <v>1453</v>
      </c>
      <c r="D109" s="102"/>
      <c r="F109" s="102"/>
      <c r="L109" s="103" t="b">
        <v>0</v>
      </c>
    </row>
    <row r="110" spans="1:12" s="100" customFormat="1">
      <c r="A110" s="100" t="s">
        <v>504</v>
      </c>
      <c r="B110" s="101" t="s">
        <v>507</v>
      </c>
      <c r="C110" s="43">
        <v>3451</v>
      </c>
      <c r="D110" s="102"/>
      <c r="F110" s="102"/>
      <c r="L110" s="103" t="b">
        <v>0</v>
      </c>
    </row>
    <row r="111" spans="1:12" s="5" customFormat="1">
      <c r="B111" s="3" t="s">
        <v>508</v>
      </c>
      <c r="C111" s="42">
        <v>2541</v>
      </c>
      <c r="D111" s="13"/>
      <c r="F111" s="13"/>
      <c r="L111" s="8" t="b">
        <v>0</v>
      </c>
    </row>
    <row r="112" spans="1:12" s="5" customFormat="1">
      <c r="B112" s="3"/>
      <c r="C112" s="42"/>
      <c r="D112" s="13"/>
      <c r="F112" s="13"/>
      <c r="L112" s="8" t="b">
        <v>0</v>
      </c>
    </row>
    <row r="113" spans="2:12" s="5" customFormat="1">
      <c r="B113" s="3"/>
      <c r="C113" s="42"/>
      <c r="D113" s="13"/>
      <c r="F113" s="13"/>
      <c r="L113" s="8" t="b">
        <v>0</v>
      </c>
    </row>
    <row r="114" spans="2:12" s="5" customFormat="1">
      <c r="B114" s="3"/>
      <c r="C114" s="42"/>
      <c r="D114" s="13"/>
      <c r="F114" s="13"/>
      <c r="L114" s="8" t="b">
        <v>0</v>
      </c>
    </row>
    <row r="115" spans="2:12" s="5" customFormat="1">
      <c r="B115" s="3"/>
      <c r="C115" s="42"/>
      <c r="D115" s="13"/>
      <c r="F115" s="13"/>
      <c r="L115" s="8" t="b">
        <v>0</v>
      </c>
    </row>
    <row r="116" spans="2:12" s="5" customFormat="1">
      <c r="B116" s="3"/>
      <c r="C116" s="42"/>
      <c r="D116" s="13"/>
      <c r="F116" s="13"/>
      <c r="L116" s="8" t="b">
        <v>0</v>
      </c>
    </row>
    <row r="117" spans="2:12">
      <c r="L117" s="1"/>
    </row>
    <row r="118" spans="2:12">
      <c r="L118" s="2"/>
    </row>
    <row r="119" spans="2:12" s="5" customFormat="1">
      <c r="B119" s="5" t="s">
        <v>509</v>
      </c>
      <c r="D119" s="11">
        <f>SUM(D5:D118)</f>
        <v>43610</v>
      </c>
      <c r="F119" s="11">
        <f>SUM(F6:F118)</f>
        <v>39270.256000000001</v>
      </c>
      <c r="L119" s="14"/>
    </row>
    <row r="120" spans="2:12">
      <c r="B120" s="42"/>
      <c r="L120" s="2"/>
    </row>
    <row r="121" spans="2:12" s="5" customFormat="1">
      <c r="D121" s="11"/>
      <c r="F121" s="11"/>
      <c r="L121" s="4"/>
    </row>
    <row r="122" spans="2:12" s="5" customFormat="1">
      <c r="D122" s="11"/>
      <c r="F122" s="11"/>
      <c r="L122" s="4"/>
    </row>
    <row r="123" spans="2:12" s="5" customFormat="1">
      <c r="B123" s="3"/>
      <c r="C123" s="3"/>
      <c r="D123" s="13"/>
      <c r="F123" s="13"/>
      <c r="L123" s="1"/>
    </row>
    <row r="124" spans="2:12" s="5" customFormat="1">
      <c r="B124" s="3"/>
      <c r="C124" s="3"/>
      <c r="D124" s="13"/>
      <c r="F124" s="13"/>
      <c r="L124" s="1"/>
    </row>
    <row r="125" spans="2:12">
      <c r="L125" s="1"/>
    </row>
    <row r="126" spans="2:12">
      <c r="L126" s="1"/>
    </row>
    <row r="127" spans="2:12">
      <c r="L127" s="1"/>
    </row>
    <row r="128" spans="2:12">
      <c r="L128" s="1"/>
    </row>
    <row r="129" spans="12:12">
      <c r="L129" s="1"/>
    </row>
    <row r="130" spans="12:12">
      <c r="L130" s="1"/>
    </row>
    <row r="131" spans="12:12">
      <c r="L131" s="1"/>
    </row>
    <row r="132" spans="12:12">
      <c r="L132" s="1"/>
    </row>
    <row r="133" spans="12:12">
      <c r="L133" s="1"/>
    </row>
    <row r="134" spans="12:12">
      <c r="L134" s="1"/>
    </row>
    <row r="135" spans="12:12">
      <c r="L135" s="1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1EE1-ADE8-43EF-BB33-95C2A4BC84DC}">
  <dimension ref="A1:U60"/>
  <sheetViews>
    <sheetView workbookViewId="0">
      <pane ySplit="2" topLeftCell="A3" activePane="bottomLeft" state="frozen"/>
      <selection pane="bottomLeft" activeCell="F9" sqref="F9"/>
      <selection activeCell="C1" sqref="C1"/>
    </sheetView>
  </sheetViews>
  <sheetFormatPr defaultColWidth="8.85546875" defaultRowHeight="15.95"/>
  <cols>
    <col min="1" max="1" width="12.7109375" style="74" customWidth="1"/>
    <col min="2" max="2" width="9.140625" style="74" bestFit="1" customWidth="1"/>
    <col min="3" max="3" width="32.140625" style="74" customWidth="1"/>
    <col min="4" max="4" width="2.7109375" style="74" customWidth="1"/>
    <col min="5" max="5" width="15" style="76" customWidth="1"/>
    <col min="6" max="6" width="1.85546875" style="76" customWidth="1"/>
    <col min="7" max="7" width="20" style="76" customWidth="1"/>
    <col min="8" max="8" width="2.7109375" style="74" customWidth="1"/>
    <col min="9" max="9" width="26.5703125" style="74" customWidth="1"/>
    <col min="10" max="10" width="2.42578125" style="74" customWidth="1"/>
    <col min="11" max="11" width="13.7109375" style="74" customWidth="1"/>
    <col min="12" max="12" width="2.7109375" style="74" customWidth="1"/>
    <col min="13" max="13" width="6.28515625" style="74" customWidth="1"/>
    <col min="14" max="14" width="13.7109375" style="74" customWidth="1"/>
    <col min="15" max="15" width="2.7109375" style="74" customWidth="1"/>
    <col min="16" max="16" width="9.140625" style="74" bestFit="1" customWidth="1"/>
    <col min="17" max="17" width="11.42578125" style="74" customWidth="1"/>
    <col min="18" max="18" width="2.140625" style="74" customWidth="1"/>
    <col min="19" max="19" width="9.140625" style="74" bestFit="1" customWidth="1"/>
    <col min="20" max="20" width="11.42578125" style="74" customWidth="1"/>
    <col min="21" max="21" width="32.5703125" style="74" customWidth="1"/>
    <col min="22" max="22" width="21.42578125" style="74" customWidth="1"/>
    <col min="23" max="16384" width="8.85546875" style="74"/>
  </cols>
  <sheetData>
    <row r="1" spans="1:21" s="75" customFormat="1">
      <c r="A1" s="77" t="s">
        <v>190</v>
      </c>
      <c r="E1" s="78"/>
      <c r="F1" s="78"/>
      <c r="G1" s="78"/>
      <c r="M1" s="77"/>
      <c r="P1" s="77"/>
      <c r="S1" s="77"/>
    </row>
    <row r="2" spans="1:21" s="75" customFormat="1" ht="47.65">
      <c r="B2" s="77"/>
      <c r="C2" s="75" t="s">
        <v>510</v>
      </c>
      <c r="E2" s="79" t="s">
        <v>67</v>
      </c>
      <c r="F2" s="79"/>
      <c r="G2" s="79" t="s">
        <v>68</v>
      </c>
      <c r="H2" s="80"/>
      <c r="I2" s="80" t="s">
        <v>5</v>
      </c>
      <c r="J2" s="80"/>
      <c r="K2" s="81" t="s">
        <v>193</v>
      </c>
      <c r="M2" s="82"/>
      <c r="N2" s="81" t="s">
        <v>69</v>
      </c>
      <c r="P2" s="82"/>
      <c r="Q2" s="81" t="s">
        <v>70</v>
      </c>
      <c r="S2" s="82"/>
      <c r="T2" s="81" t="s">
        <v>71</v>
      </c>
      <c r="U2" s="80" t="s">
        <v>72</v>
      </c>
    </row>
    <row r="3" spans="1:21" s="75" customFormat="1">
      <c r="A3" s="77" t="s">
        <v>73</v>
      </c>
      <c r="E3" s="78"/>
      <c r="F3" s="78"/>
      <c r="G3" s="78"/>
    </row>
    <row r="4" spans="1:21">
      <c r="B4" s="83"/>
      <c r="M4" s="83"/>
      <c r="P4" s="83"/>
      <c r="S4" s="83"/>
    </row>
    <row r="5" spans="1:21">
      <c r="A5" s="84"/>
      <c r="B5" s="84"/>
      <c r="C5" s="84" t="s">
        <v>215</v>
      </c>
      <c r="D5" s="84"/>
      <c r="E5" s="76">
        <v>250</v>
      </c>
      <c r="M5" s="83"/>
      <c r="P5" s="83"/>
      <c r="S5" s="83"/>
    </row>
    <row r="6" spans="1:21">
      <c r="A6" s="84"/>
      <c r="B6" s="84"/>
      <c r="C6" s="84"/>
      <c r="D6" s="84"/>
      <c r="M6" s="85" t="b">
        <v>0</v>
      </c>
      <c r="N6" s="86"/>
      <c r="P6" s="85" t="b">
        <v>0</v>
      </c>
      <c r="S6" s="85" t="b">
        <v>0</v>
      </c>
    </row>
    <row r="7" spans="1:21">
      <c r="A7" s="84" t="s">
        <v>511</v>
      </c>
      <c r="B7" s="84"/>
      <c r="C7" s="84"/>
      <c r="D7" s="84"/>
      <c r="K7" s="86"/>
      <c r="M7" s="85" t="b">
        <v>0</v>
      </c>
      <c r="N7" s="86"/>
      <c r="P7" s="85" t="b">
        <v>0</v>
      </c>
      <c r="Q7" s="86"/>
      <c r="S7" s="85" t="b">
        <v>0</v>
      </c>
    </row>
    <row r="8" spans="1:21">
      <c r="A8" s="84"/>
      <c r="B8" s="84"/>
      <c r="C8" s="84" t="s">
        <v>512</v>
      </c>
      <c r="D8" s="84"/>
      <c r="G8" s="76">
        <v>482.78</v>
      </c>
      <c r="I8" s="74" t="s">
        <v>6</v>
      </c>
      <c r="K8" s="86"/>
      <c r="M8" s="85" t="b">
        <v>0</v>
      </c>
      <c r="N8" s="86">
        <v>45907</v>
      </c>
      <c r="P8" s="85" t="b">
        <v>1</v>
      </c>
      <c r="Q8" s="86">
        <v>45925</v>
      </c>
      <c r="S8" s="85" t="b">
        <v>1</v>
      </c>
    </row>
    <row r="9" spans="1:21">
      <c r="A9" s="84"/>
      <c r="B9" s="84"/>
      <c r="C9" s="84" t="s">
        <v>35</v>
      </c>
      <c r="D9" s="84"/>
      <c r="K9" s="86"/>
      <c r="M9" s="85" t="b">
        <v>0</v>
      </c>
      <c r="N9" s="86"/>
      <c r="P9" s="85" t="b">
        <v>1</v>
      </c>
      <c r="Q9" s="86">
        <v>45925</v>
      </c>
      <c r="S9" s="85" t="b">
        <v>1</v>
      </c>
    </row>
    <row r="10" spans="1:21">
      <c r="A10" s="84"/>
      <c r="B10" s="84"/>
      <c r="C10" s="84"/>
      <c r="D10" s="84"/>
      <c r="K10" s="86"/>
      <c r="M10" s="85" t="b">
        <v>0</v>
      </c>
      <c r="N10" s="86"/>
      <c r="P10" s="85" t="b">
        <v>0</v>
      </c>
      <c r="Q10" s="86"/>
      <c r="S10" s="85" t="b">
        <v>0</v>
      </c>
    </row>
    <row r="11" spans="1:21">
      <c r="A11" s="84"/>
      <c r="B11" s="84"/>
      <c r="C11" s="84"/>
      <c r="D11" s="84"/>
      <c r="K11" s="86"/>
      <c r="M11" s="85" t="b">
        <v>0</v>
      </c>
      <c r="N11" s="86"/>
      <c r="P11" s="85" t="b">
        <v>0</v>
      </c>
      <c r="Q11" s="86"/>
      <c r="S11" s="85" t="b">
        <v>0</v>
      </c>
    </row>
    <row r="12" spans="1:21">
      <c r="A12" s="84"/>
      <c r="B12" s="84"/>
      <c r="C12" s="84"/>
      <c r="D12" s="84"/>
      <c r="N12" s="86"/>
      <c r="P12" s="83"/>
      <c r="S12" s="83"/>
    </row>
    <row r="13" spans="1:21">
      <c r="A13" s="84" t="s">
        <v>366</v>
      </c>
      <c r="B13" s="84"/>
      <c r="C13" s="84" t="s">
        <v>513</v>
      </c>
      <c r="D13" s="84"/>
      <c r="E13" s="76">
        <v>6500</v>
      </c>
      <c r="G13" s="76">
        <v>4915.55</v>
      </c>
      <c r="I13" s="74" t="s">
        <v>514</v>
      </c>
      <c r="K13" s="86"/>
      <c r="M13" s="85" t="b">
        <v>0</v>
      </c>
      <c r="N13" s="86">
        <v>45907</v>
      </c>
      <c r="P13" s="85" t="b">
        <v>1</v>
      </c>
      <c r="Q13" s="86">
        <v>45925</v>
      </c>
      <c r="S13" s="85" t="b">
        <v>1</v>
      </c>
    </row>
    <row r="14" spans="1:21">
      <c r="A14" s="84"/>
      <c r="B14" s="84"/>
      <c r="C14" s="84" t="s">
        <v>515</v>
      </c>
      <c r="D14" s="84"/>
      <c r="I14" s="74" t="s">
        <v>514</v>
      </c>
      <c r="M14" s="83"/>
      <c r="N14" s="86">
        <v>45907</v>
      </c>
      <c r="P14" s="85" t="b">
        <v>1</v>
      </c>
      <c r="Q14" s="86">
        <v>45925</v>
      </c>
      <c r="S14" s="85" t="b">
        <v>1</v>
      </c>
    </row>
    <row r="15" spans="1:21">
      <c r="A15" s="84"/>
      <c r="B15" s="84"/>
      <c r="C15" s="84"/>
      <c r="D15" s="84"/>
      <c r="K15" s="86"/>
      <c r="M15" s="83"/>
      <c r="P15" s="83"/>
      <c r="S15" s="83"/>
    </row>
    <row r="16" spans="1:21">
      <c r="A16" s="84" t="s">
        <v>516</v>
      </c>
      <c r="B16" s="84"/>
      <c r="C16" s="84" t="s">
        <v>517</v>
      </c>
      <c r="D16" s="84"/>
      <c r="E16" s="76">
        <v>600</v>
      </c>
      <c r="G16" s="93">
        <v>1295.1300000000001</v>
      </c>
      <c r="K16" s="86"/>
      <c r="M16" s="85" t="b">
        <v>0</v>
      </c>
      <c r="N16" s="86"/>
      <c r="P16" s="85" t="b">
        <v>0</v>
      </c>
      <c r="S16" s="85" t="b">
        <v>0</v>
      </c>
    </row>
    <row r="17" spans="1:19">
      <c r="A17" s="84"/>
      <c r="B17" s="84"/>
      <c r="C17" s="84" t="s">
        <v>518</v>
      </c>
      <c r="D17" s="84"/>
      <c r="G17" s="76">
        <v>0</v>
      </c>
      <c r="I17" s="74" t="s">
        <v>514</v>
      </c>
      <c r="M17" s="87"/>
      <c r="N17" s="86">
        <v>45907</v>
      </c>
      <c r="P17" s="85" t="b">
        <v>1</v>
      </c>
      <c r="Q17" s="86">
        <v>45925</v>
      </c>
      <c r="S17" s="85" t="b">
        <v>1</v>
      </c>
    </row>
    <row r="18" spans="1:19">
      <c r="A18" s="84"/>
      <c r="B18" s="84"/>
      <c r="C18" s="84" t="s">
        <v>519</v>
      </c>
      <c r="D18" s="84"/>
      <c r="I18" s="74" t="s">
        <v>514</v>
      </c>
      <c r="M18" s="87"/>
      <c r="N18" s="86">
        <v>45907</v>
      </c>
      <c r="P18" s="85" t="b">
        <v>1</v>
      </c>
      <c r="Q18" s="86">
        <v>45925</v>
      </c>
      <c r="S18" s="85" t="b">
        <v>1</v>
      </c>
    </row>
    <row r="19" spans="1:19">
      <c r="A19" s="84"/>
      <c r="B19" s="84"/>
      <c r="C19" s="84" t="s">
        <v>520</v>
      </c>
      <c r="D19" s="84"/>
      <c r="I19" s="74" t="s">
        <v>514</v>
      </c>
      <c r="K19" s="86"/>
      <c r="M19" s="85" t="b">
        <v>0</v>
      </c>
      <c r="N19" s="86">
        <v>45907</v>
      </c>
      <c r="P19" s="85" t="b">
        <v>1</v>
      </c>
      <c r="Q19" s="94">
        <v>45925</v>
      </c>
      <c r="S19" s="85" t="b">
        <v>1</v>
      </c>
    </row>
    <row r="20" spans="1:19">
      <c r="A20" s="84"/>
      <c r="B20" s="84"/>
      <c r="C20" s="88" t="s">
        <v>521</v>
      </c>
      <c r="D20" s="88"/>
      <c r="I20" s="74" t="s">
        <v>514</v>
      </c>
      <c r="K20" s="86"/>
      <c r="M20" s="83"/>
      <c r="N20" s="86">
        <v>45907</v>
      </c>
      <c r="P20" s="85" t="b">
        <v>1</v>
      </c>
      <c r="Q20" s="86">
        <v>45925</v>
      </c>
      <c r="S20" s="85" t="b">
        <v>1</v>
      </c>
    </row>
    <row r="21" spans="1:19">
      <c r="A21" s="84"/>
      <c r="B21" s="84"/>
      <c r="C21" s="88"/>
      <c r="D21" s="88"/>
      <c r="K21" s="86"/>
      <c r="M21" s="83"/>
      <c r="P21" s="83"/>
      <c r="S21" s="83"/>
    </row>
    <row r="22" spans="1:19">
      <c r="A22" s="84" t="s">
        <v>100</v>
      </c>
      <c r="B22" s="84"/>
      <c r="C22" s="84" t="s">
        <v>522</v>
      </c>
      <c r="D22" s="84"/>
      <c r="E22" s="76">
        <v>700</v>
      </c>
      <c r="G22" s="93">
        <v>500</v>
      </c>
      <c r="K22" s="86"/>
      <c r="M22" s="85" t="b">
        <v>0</v>
      </c>
      <c r="N22" s="86"/>
      <c r="P22" s="85" t="b">
        <v>0</v>
      </c>
      <c r="S22" s="85" t="b">
        <v>0</v>
      </c>
    </row>
    <row r="23" spans="1:19">
      <c r="A23" s="84"/>
      <c r="B23" s="84"/>
      <c r="C23" s="84"/>
      <c r="D23" s="84"/>
      <c r="K23" s="86"/>
      <c r="M23" s="83"/>
      <c r="P23" s="83"/>
      <c r="S23" s="83"/>
    </row>
    <row r="24" spans="1:19">
      <c r="A24" s="84" t="s">
        <v>377</v>
      </c>
      <c r="B24" s="84"/>
      <c r="C24" s="84"/>
      <c r="D24" s="84"/>
      <c r="F24" s="89"/>
      <c r="G24" s="89"/>
      <c r="H24" s="90"/>
      <c r="I24" s="90"/>
      <c r="M24" s="87"/>
      <c r="P24" s="87"/>
      <c r="S24" s="87"/>
    </row>
    <row r="25" spans="1:19" s="75" customFormat="1">
      <c r="B25" s="77"/>
      <c r="E25" s="78"/>
      <c r="F25" s="78"/>
      <c r="G25" s="78"/>
      <c r="K25" s="74"/>
      <c r="M25" s="83"/>
      <c r="P25" s="83"/>
      <c r="S25" s="83"/>
    </row>
    <row r="26" spans="1:19" s="75" customFormat="1">
      <c r="B26" s="77"/>
      <c r="E26" s="78"/>
      <c r="F26" s="78"/>
      <c r="G26" s="78"/>
      <c r="K26" s="74"/>
      <c r="M26" s="83"/>
      <c r="P26" s="83"/>
      <c r="S26" s="83"/>
    </row>
    <row r="27" spans="1:19" s="75" customFormat="1">
      <c r="B27" s="83"/>
      <c r="C27" s="74"/>
      <c r="D27" s="74"/>
      <c r="E27" s="78"/>
      <c r="F27" s="78"/>
      <c r="G27" s="78"/>
      <c r="K27" s="74"/>
      <c r="M27" s="83"/>
      <c r="P27" s="83"/>
      <c r="S27" s="83"/>
    </row>
    <row r="28" spans="1:19" s="75" customFormat="1">
      <c r="B28" s="83"/>
      <c r="C28" s="74"/>
      <c r="D28" s="74"/>
      <c r="E28" s="78">
        <f>SUM(E4:E27)</f>
        <v>8050</v>
      </c>
      <c r="F28" s="78"/>
      <c r="G28" s="78">
        <f>SUM(G4:G27)</f>
        <v>7193.46</v>
      </c>
      <c r="K28" s="74"/>
      <c r="M28" s="83"/>
      <c r="P28" s="83"/>
      <c r="S28" s="83"/>
    </row>
    <row r="29" spans="1:19" s="75" customFormat="1">
      <c r="B29" s="83"/>
      <c r="C29" s="74"/>
      <c r="D29" s="74"/>
      <c r="E29" s="78"/>
      <c r="F29" s="78"/>
      <c r="G29" s="78"/>
      <c r="K29" s="74"/>
      <c r="M29" s="83"/>
      <c r="P29" s="83"/>
      <c r="S29" s="83"/>
    </row>
    <row r="30" spans="1:19" s="75" customFormat="1">
      <c r="B30" s="83"/>
      <c r="C30" s="74"/>
      <c r="D30" s="74"/>
      <c r="E30" s="78"/>
      <c r="F30" s="78"/>
      <c r="G30" s="78"/>
      <c r="K30" s="74"/>
      <c r="M30" s="83"/>
      <c r="P30" s="83"/>
      <c r="S30" s="83"/>
    </row>
    <row r="31" spans="1:19">
      <c r="B31" s="83"/>
      <c r="M31" s="83"/>
      <c r="P31" s="83"/>
      <c r="S31" s="83"/>
    </row>
    <row r="32" spans="1:19">
      <c r="B32" s="83"/>
      <c r="M32" s="83"/>
      <c r="P32" s="83"/>
      <c r="S32" s="83"/>
    </row>
    <row r="33" spans="2:19">
      <c r="B33" s="83"/>
      <c r="M33" s="83"/>
      <c r="P33" s="83"/>
      <c r="S33" s="83"/>
    </row>
    <row r="34" spans="2:19">
      <c r="B34" s="83"/>
      <c r="M34" s="83"/>
      <c r="P34" s="83"/>
      <c r="S34" s="83"/>
    </row>
    <row r="35" spans="2:19">
      <c r="B35" s="83"/>
      <c r="M35" s="83"/>
      <c r="P35" s="83"/>
      <c r="S35" s="83"/>
    </row>
    <row r="36" spans="2:19">
      <c r="B36" s="87"/>
      <c r="M36" s="83"/>
      <c r="P36" s="83"/>
      <c r="S36" s="83"/>
    </row>
    <row r="37" spans="2:19">
      <c r="B37" s="83"/>
      <c r="K37" s="75"/>
      <c r="M37" s="83"/>
      <c r="P37" s="83"/>
      <c r="S37" s="83"/>
    </row>
    <row r="38" spans="2:19">
      <c r="B38" s="83"/>
      <c r="K38" s="75"/>
      <c r="M38" s="83"/>
      <c r="P38" s="83"/>
      <c r="S38" s="83"/>
    </row>
    <row r="39" spans="2:19">
      <c r="B39" s="83"/>
      <c r="K39" s="75"/>
      <c r="M39" s="83"/>
      <c r="P39" s="83"/>
      <c r="S39" s="83"/>
    </row>
    <row r="40" spans="2:19">
      <c r="B40" s="83"/>
      <c r="K40" s="75"/>
      <c r="M40" s="83"/>
      <c r="P40" s="83"/>
      <c r="S40" s="83"/>
    </row>
    <row r="41" spans="2:19">
      <c r="B41" s="83"/>
      <c r="M41" s="83"/>
      <c r="P41" s="83"/>
      <c r="S41" s="83"/>
    </row>
    <row r="42" spans="2:19">
      <c r="B42" s="83"/>
      <c r="M42" s="91"/>
      <c r="P42" s="91"/>
      <c r="S42" s="91"/>
    </row>
    <row r="43" spans="2:19" s="75" customFormat="1">
      <c r="B43" s="77"/>
      <c r="E43" s="78"/>
      <c r="F43" s="78"/>
      <c r="G43" s="78"/>
      <c r="M43" s="92"/>
      <c r="P43" s="92"/>
      <c r="S43" s="92"/>
    </row>
    <row r="44" spans="2:19" s="75" customFormat="1">
      <c r="B44" s="77"/>
      <c r="E44" s="78"/>
      <c r="F44" s="78"/>
      <c r="G44" s="78"/>
      <c r="K44" s="74"/>
      <c r="M44" s="91"/>
      <c r="P44" s="91"/>
      <c r="S44" s="91"/>
    </row>
    <row r="45" spans="2:19" s="75" customFormat="1">
      <c r="B45" s="83"/>
      <c r="C45" s="74"/>
      <c r="D45" s="74"/>
      <c r="E45" s="78"/>
      <c r="F45" s="78"/>
      <c r="G45" s="78"/>
      <c r="M45" s="77"/>
      <c r="P45" s="77"/>
      <c r="S45" s="77"/>
    </row>
    <row r="46" spans="2:19" s="75" customFormat="1">
      <c r="B46" s="83"/>
      <c r="C46" s="74"/>
      <c r="D46" s="74"/>
      <c r="E46" s="78"/>
      <c r="F46" s="78"/>
      <c r="G46" s="78"/>
      <c r="M46" s="77"/>
      <c r="P46" s="77"/>
      <c r="S46" s="77"/>
    </row>
    <row r="47" spans="2:19">
      <c r="B47" s="83"/>
      <c r="K47" s="75"/>
      <c r="M47" s="77"/>
      <c r="P47" s="77"/>
      <c r="S47" s="77"/>
    </row>
    <row r="48" spans="2:19">
      <c r="B48" s="83"/>
      <c r="K48" s="75"/>
      <c r="M48" s="83"/>
      <c r="P48" s="83"/>
      <c r="S48" s="83"/>
    </row>
    <row r="49" spans="2:19">
      <c r="B49" s="83"/>
      <c r="K49" s="75"/>
      <c r="M49" s="83"/>
      <c r="P49" s="83"/>
      <c r="S49" s="83"/>
    </row>
    <row r="50" spans="2:19">
      <c r="B50" s="83"/>
      <c r="M50" s="83"/>
      <c r="P50" s="83"/>
      <c r="S50" s="83"/>
    </row>
    <row r="51" spans="2:19">
      <c r="B51" s="83"/>
      <c r="M51" s="83"/>
      <c r="P51" s="83"/>
      <c r="S51" s="83"/>
    </row>
    <row r="52" spans="2:19">
      <c r="B52" s="83"/>
      <c r="M52" s="83"/>
      <c r="P52" s="83"/>
      <c r="S52" s="83"/>
    </row>
    <row r="53" spans="2:19">
      <c r="B53" s="83"/>
      <c r="M53" s="83"/>
      <c r="P53" s="83"/>
      <c r="S53" s="83"/>
    </row>
    <row r="54" spans="2:19">
      <c r="B54" s="83"/>
      <c r="M54" s="83"/>
      <c r="P54" s="83"/>
      <c r="S54" s="83"/>
    </row>
    <row r="55" spans="2:19">
      <c r="B55" s="83"/>
      <c r="M55" s="83"/>
      <c r="P55" s="83"/>
      <c r="S55" s="83"/>
    </row>
    <row r="56" spans="2:19">
      <c r="B56" s="83"/>
      <c r="M56" s="83"/>
      <c r="P56" s="83"/>
      <c r="S56" s="83"/>
    </row>
    <row r="57" spans="2:19">
      <c r="B57" s="83"/>
      <c r="M57" s="83"/>
      <c r="P57" s="83"/>
      <c r="S57" s="83"/>
    </row>
    <row r="58" spans="2:19">
      <c r="M58" s="83"/>
      <c r="P58" s="83"/>
      <c r="S58" s="83"/>
    </row>
    <row r="59" spans="2:19">
      <c r="M59" s="83"/>
      <c r="P59" s="83"/>
      <c r="S59" s="83"/>
    </row>
    <row r="60" spans="2:19">
      <c r="M60" s="83"/>
      <c r="P60" s="83"/>
      <c r="S60" s="83"/>
    </row>
  </sheetData>
  <pageMargins left="0.7" right="0.7" top="0.75" bottom="0.75" header="0.3" footer="0.3"/>
  <pageSetup orientation="portrait" horizontalDpi="203" verticalDpi="20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381A-9A9A-4592-B11A-19BE6E6C8D8D}">
  <dimension ref="A1:T82"/>
  <sheetViews>
    <sheetView workbookViewId="0">
      <pane ySplit="2" topLeftCell="A39" activePane="bottomLeft" state="frozen"/>
      <selection pane="bottomLeft" activeCell="H43" sqref="H43"/>
      <selection activeCell="C1" sqref="C1"/>
    </sheetView>
  </sheetViews>
  <sheetFormatPr defaultColWidth="8.85546875" defaultRowHeight="15.95"/>
  <cols>
    <col min="1" max="1" width="12.7109375" style="74" customWidth="1"/>
    <col min="2" max="2" width="40.28515625" style="74" customWidth="1"/>
    <col min="3" max="3" width="2.7109375" style="74" customWidth="1"/>
    <col min="4" max="4" width="15" style="76" customWidth="1"/>
    <col min="5" max="5" width="1.85546875" style="76" customWidth="1"/>
    <col min="6" max="6" width="20" style="76" customWidth="1"/>
    <col min="7" max="7" width="2.7109375" style="74" customWidth="1"/>
    <col min="8" max="8" width="26.5703125" style="74" customWidth="1"/>
    <col min="9" max="9" width="2.42578125" style="74" customWidth="1"/>
    <col min="10" max="10" width="13.7109375" style="74" customWidth="1"/>
    <col min="11" max="11" width="2.7109375" style="74" customWidth="1"/>
    <col min="12" max="12" width="6.28515625" style="74" customWidth="1"/>
    <col min="13" max="13" width="13.7109375" style="74" customWidth="1"/>
    <col min="14" max="14" width="2.7109375" style="74" customWidth="1"/>
    <col min="15" max="15" width="9.140625" style="74" bestFit="1" customWidth="1"/>
    <col min="16" max="16" width="11.42578125" style="74" customWidth="1"/>
    <col min="17" max="17" width="2.140625" style="74" customWidth="1"/>
    <col min="18" max="18" width="9.140625" style="74" bestFit="1" customWidth="1"/>
    <col min="19" max="19" width="11.42578125" style="74" customWidth="1"/>
    <col min="20" max="20" width="32.5703125" style="74" customWidth="1"/>
    <col min="21" max="21" width="21.42578125" style="74" customWidth="1"/>
    <col min="22" max="16384" width="8.85546875" style="74"/>
  </cols>
  <sheetData>
    <row r="1" spans="1:20" s="75" customFormat="1">
      <c r="A1" s="77" t="s">
        <v>190</v>
      </c>
      <c r="D1" s="78"/>
      <c r="E1" s="78"/>
      <c r="F1" s="78"/>
      <c r="L1" s="77"/>
      <c r="O1" s="77"/>
      <c r="R1" s="77"/>
    </row>
    <row r="2" spans="1:20" s="75" customFormat="1" ht="47.65">
      <c r="B2" s="75" t="s">
        <v>523</v>
      </c>
      <c r="D2" s="79" t="s">
        <v>67</v>
      </c>
      <c r="E2" s="79"/>
      <c r="F2" s="79" t="s">
        <v>68</v>
      </c>
      <c r="G2" s="80"/>
      <c r="H2" s="80" t="s">
        <v>5</v>
      </c>
      <c r="I2" s="80"/>
      <c r="J2" s="81" t="s">
        <v>193</v>
      </c>
      <c r="L2" s="82"/>
      <c r="M2" s="81" t="s">
        <v>69</v>
      </c>
      <c r="O2" s="82"/>
      <c r="P2" s="81" t="s">
        <v>70</v>
      </c>
      <c r="R2" s="82"/>
      <c r="S2" s="81" t="s">
        <v>71</v>
      </c>
      <c r="T2" s="80" t="s">
        <v>72</v>
      </c>
    </row>
    <row r="3" spans="1:20" s="75" customFormat="1">
      <c r="A3" s="77" t="s">
        <v>73</v>
      </c>
      <c r="D3" s="78"/>
      <c r="E3" s="78"/>
      <c r="F3" s="78"/>
    </row>
    <row r="4" spans="1:20">
      <c r="L4" s="83"/>
      <c r="O4" s="83"/>
      <c r="R4" s="83"/>
    </row>
    <row r="5" spans="1:20">
      <c r="A5" s="52" t="s">
        <v>524</v>
      </c>
      <c r="B5" s="84"/>
      <c r="C5" s="84"/>
      <c r="J5" s="86"/>
      <c r="L5" s="85" t="b">
        <v>0</v>
      </c>
      <c r="M5" s="86"/>
      <c r="O5" s="85" t="b">
        <v>0</v>
      </c>
      <c r="P5" s="86"/>
      <c r="R5" s="85" t="b">
        <v>0</v>
      </c>
    </row>
    <row r="6" spans="1:20">
      <c r="A6" s="52"/>
      <c r="B6" s="84" t="s">
        <v>525</v>
      </c>
      <c r="C6" s="84"/>
      <c r="D6" s="76">
        <v>900</v>
      </c>
      <c r="F6" s="76">
        <v>4599.18</v>
      </c>
      <c r="H6" s="3" t="s">
        <v>6</v>
      </c>
      <c r="J6" s="86"/>
      <c r="L6" s="85" t="b">
        <v>0</v>
      </c>
      <c r="M6" s="86">
        <v>45937</v>
      </c>
      <c r="O6" s="85" t="b">
        <v>0</v>
      </c>
      <c r="P6" s="86"/>
      <c r="R6" s="85" t="b">
        <v>0</v>
      </c>
    </row>
    <row r="7" spans="1:20">
      <c r="A7" s="84"/>
      <c r="B7" s="84" t="s">
        <v>526</v>
      </c>
      <c r="C7" s="84"/>
      <c r="D7" s="76">
        <v>1500</v>
      </c>
      <c r="F7" s="13" t="s">
        <v>527</v>
      </c>
      <c r="H7" s="3" t="s">
        <v>6</v>
      </c>
      <c r="J7" s="86"/>
      <c r="L7" s="85" t="b">
        <v>0</v>
      </c>
      <c r="M7" s="86">
        <v>45937</v>
      </c>
      <c r="O7" s="85" t="b">
        <v>0</v>
      </c>
      <c r="P7" s="86"/>
      <c r="R7" s="85" t="b">
        <v>0</v>
      </c>
    </row>
    <row r="8" spans="1:20">
      <c r="A8" s="84"/>
      <c r="B8" s="20" t="s">
        <v>528</v>
      </c>
      <c r="C8" s="84"/>
      <c r="D8" s="76">
        <v>450</v>
      </c>
      <c r="F8" s="13" t="s">
        <v>527</v>
      </c>
      <c r="H8" s="3" t="s">
        <v>6</v>
      </c>
      <c r="J8" s="86"/>
      <c r="L8" s="85" t="b">
        <v>0</v>
      </c>
      <c r="M8" s="86">
        <v>45937</v>
      </c>
      <c r="O8" s="85" t="b">
        <v>0</v>
      </c>
      <c r="P8" s="86"/>
      <c r="R8" s="85" t="b">
        <v>0</v>
      </c>
    </row>
    <row r="9" spans="1:20">
      <c r="A9" s="84"/>
      <c r="B9" s="20" t="s">
        <v>529</v>
      </c>
      <c r="C9" s="84"/>
      <c r="D9" s="76">
        <f>300+150</f>
        <v>450</v>
      </c>
      <c r="F9" s="13" t="s">
        <v>527</v>
      </c>
      <c r="H9" s="3" t="s">
        <v>6</v>
      </c>
      <c r="J9" s="86"/>
      <c r="L9" s="85" t="b">
        <v>0</v>
      </c>
      <c r="M9" s="86">
        <v>45937</v>
      </c>
      <c r="O9" s="85" t="b">
        <v>0</v>
      </c>
      <c r="R9" s="85" t="b">
        <v>0</v>
      </c>
    </row>
    <row r="10" spans="1:20">
      <c r="A10" s="84"/>
      <c r="B10" s="20" t="s">
        <v>530</v>
      </c>
      <c r="C10" s="84"/>
      <c r="J10" s="86"/>
      <c r="L10" s="85" t="b">
        <v>0</v>
      </c>
      <c r="M10" s="86">
        <v>45937</v>
      </c>
      <c r="O10" s="85" t="b">
        <v>0</v>
      </c>
      <c r="R10" s="85" t="b">
        <v>0</v>
      </c>
    </row>
    <row r="11" spans="1:20">
      <c r="A11" s="84"/>
      <c r="B11" s="20"/>
      <c r="C11" s="84"/>
      <c r="J11" s="86"/>
      <c r="L11" s="85" t="b">
        <v>0</v>
      </c>
      <c r="M11" s="86"/>
      <c r="O11" s="85" t="b">
        <v>0</v>
      </c>
      <c r="R11" s="85" t="b">
        <v>0</v>
      </c>
    </row>
    <row r="12" spans="1:20">
      <c r="A12" s="84"/>
      <c r="B12" s="20" t="s">
        <v>531</v>
      </c>
      <c r="C12" s="84"/>
      <c r="D12" s="76">
        <v>1200</v>
      </c>
      <c r="F12" s="76">
        <v>2876.07</v>
      </c>
      <c r="H12" s="3" t="s">
        <v>76</v>
      </c>
      <c r="J12" s="86"/>
      <c r="L12" s="85" t="b">
        <v>0</v>
      </c>
      <c r="M12" s="86"/>
      <c r="O12" s="85" t="b">
        <v>0</v>
      </c>
      <c r="R12" s="85" t="b">
        <v>0</v>
      </c>
    </row>
    <row r="13" spans="1:20">
      <c r="A13" s="84"/>
      <c r="B13" s="20" t="s">
        <v>532</v>
      </c>
      <c r="C13" s="84"/>
      <c r="F13" s="13" t="s">
        <v>533</v>
      </c>
      <c r="H13" s="3" t="s">
        <v>76</v>
      </c>
      <c r="J13" s="86"/>
      <c r="L13" s="85" t="b">
        <v>0</v>
      </c>
      <c r="M13" s="86"/>
      <c r="O13" s="85" t="b">
        <v>0</v>
      </c>
      <c r="R13" s="85" t="b">
        <v>0</v>
      </c>
    </row>
    <row r="14" spans="1:20">
      <c r="A14" s="84"/>
      <c r="B14" s="20" t="s">
        <v>534</v>
      </c>
      <c r="C14" s="84"/>
      <c r="F14" s="76">
        <v>32.4</v>
      </c>
      <c r="H14" s="3" t="s">
        <v>8</v>
      </c>
      <c r="J14" s="86"/>
      <c r="L14" s="85" t="b">
        <v>0</v>
      </c>
      <c r="M14" s="86">
        <v>45946</v>
      </c>
      <c r="O14" s="85" t="b">
        <v>0</v>
      </c>
      <c r="R14" s="85" t="b">
        <v>0</v>
      </c>
    </row>
    <row r="15" spans="1:20">
      <c r="A15" s="84"/>
      <c r="B15" s="20" t="s">
        <v>535</v>
      </c>
      <c r="C15" s="84"/>
      <c r="D15" s="76">
        <v>350</v>
      </c>
      <c r="F15" s="13" t="s">
        <v>536</v>
      </c>
      <c r="H15" s="3" t="s">
        <v>537</v>
      </c>
      <c r="J15" s="86"/>
      <c r="L15" s="85" t="b">
        <v>0</v>
      </c>
      <c r="M15" s="86"/>
      <c r="O15" s="85" t="b">
        <v>0</v>
      </c>
      <c r="R15" s="85" t="b">
        <v>0</v>
      </c>
    </row>
    <row r="16" spans="1:20">
      <c r="A16" s="84"/>
      <c r="B16" s="20" t="s">
        <v>538</v>
      </c>
      <c r="C16" s="84"/>
      <c r="J16" s="86"/>
      <c r="L16" s="85" t="b">
        <v>0</v>
      </c>
      <c r="M16" s="86"/>
      <c r="O16" s="85" t="b">
        <v>0</v>
      </c>
      <c r="R16" s="85" t="b">
        <v>0</v>
      </c>
    </row>
    <row r="17" spans="1:18">
      <c r="A17" s="84"/>
      <c r="B17" s="20" t="s">
        <v>539</v>
      </c>
      <c r="C17" s="84"/>
      <c r="J17" s="86"/>
      <c r="L17" s="85" t="b">
        <v>0</v>
      </c>
      <c r="M17" s="86"/>
      <c r="O17" s="85" t="b">
        <v>0</v>
      </c>
      <c r="R17" s="85" t="b">
        <v>0</v>
      </c>
    </row>
    <row r="18" spans="1:18">
      <c r="A18" s="84"/>
      <c r="B18" s="20"/>
      <c r="C18" s="84"/>
      <c r="J18" s="86"/>
      <c r="L18" s="85" t="b">
        <v>0</v>
      </c>
      <c r="M18" s="86"/>
      <c r="O18" s="85" t="b">
        <v>0</v>
      </c>
      <c r="R18" s="85" t="b">
        <v>0</v>
      </c>
    </row>
    <row r="19" spans="1:18">
      <c r="A19" s="84"/>
      <c r="B19" s="20"/>
      <c r="C19" s="84"/>
      <c r="J19" s="86"/>
      <c r="L19" s="85" t="b">
        <v>0</v>
      </c>
      <c r="M19" s="86"/>
      <c r="O19" s="85" t="b">
        <v>0</v>
      </c>
      <c r="R19" s="85" t="b">
        <v>0</v>
      </c>
    </row>
    <row r="20" spans="1:18">
      <c r="A20" s="84"/>
      <c r="B20" s="20" t="s">
        <v>540</v>
      </c>
      <c r="C20" s="84"/>
      <c r="F20" s="76">
        <v>2150</v>
      </c>
      <c r="H20" s="3" t="s">
        <v>15</v>
      </c>
      <c r="J20" s="86"/>
      <c r="L20" s="85" t="b">
        <v>0</v>
      </c>
      <c r="M20" s="86">
        <v>45957</v>
      </c>
      <c r="O20" s="85" t="b">
        <v>0</v>
      </c>
      <c r="R20" s="85" t="b">
        <v>0</v>
      </c>
    </row>
    <row r="21" spans="1:18">
      <c r="A21" s="84"/>
      <c r="B21" s="20" t="s">
        <v>541</v>
      </c>
      <c r="C21" s="84"/>
      <c r="J21" s="86"/>
      <c r="L21" s="85" t="b">
        <v>0</v>
      </c>
      <c r="M21" s="86"/>
      <c r="O21" s="85" t="b">
        <v>0</v>
      </c>
      <c r="R21" s="85" t="b">
        <v>0</v>
      </c>
    </row>
    <row r="22" spans="1:18">
      <c r="A22" s="84"/>
      <c r="B22" s="20" t="s">
        <v>82</v>
      </c>
      <c r="C22" s="84"/>
      <c r="D22" s="76">
        <v>450</v>
      </c>
      <c r="F22" s="13" t="s">
        <v>542</v>
      </c>
      <c r="H22" s="3" t="s">
        <v>6</v>
      </c>
      <c r="J22" s="86"/>
      <c r="L22" s="85" t="b">
        <v>0</v>
      </c>
      <c r="M22" s="86">
        <v>45937</v>
      </c>
      <c r="O22" s="85" t="b">
        <v>0</v>
      </c>
      <c r="R22" s="85" t="b">
        <v>0</v>
      </c>
    </row>
    <row r="23" spans="1:18">
      <c r="A23" s="84"/>
      <c r="B23" s="20" t="s">
        <v>84</v>
      </c>
      <c r="C23" s="84"/>
      <c r="F23" s="13" t="s">
        <v>542</v>
      </c>
      <c r="H23" s="3" t="s">
        <v>6</v>
      </c>
      <c r="J23" s="86"/>
      <c r="L23" s="85" t="b">
        <v>0</v>
      </c>
      <c r="M23" s="86">
        <v>45937</v>
      </c>
      <c r="O23" s="85" t="b">
        <v>0</v>
      </c>
      <c r="R23" s="85" t="b">
        <v>0</v>
      </c>
    </row>
    <row r="24" spans="1:18">
      <c r="A24" s="84"/>
      <c r="B24" s="20"/>
      <c r="C24" s="84"/>
      <c r="J24" s="86"/>
      <c r="L24" s="85" t="b">
        <v>0</v>
      </c>
      <c r="M24" s="86"/>
      <c r="O24" s="85" t="b">
        <v>0</v>
      </c>
      <c r="R24" s="85" t="b">
        <v>0</v>
      </c>
    </row>
    <row r="25" spans="1:18">
      <c r="A25" s="20" t="s">
        <v>543</v>
      </c>
      <c r="B25" s="20" t="s">
        <v>544</v>
      </c>
      <c r="C25" s="84"/>
      <c r="D25" s="76">
        <v>850</v>
      </c>
      <c r="F25" s="76">
        <v>1370.84</v>
      </c>
      <c r="H25" s="3" t="s">
        <v>138</v>
      </c>
      <c r="J25" s="86"/>
      <c r="L25" s="85" t="b">
        <v>0</v>
      </c>
      <c r="M25" s="86"/>
      <c r="O25" s="85" t="b">
        <v>0</v>
      </c>
      <c r="R25" s="85" t="b">
        <v>0</v>
      </c>
    </row>
    <row r="26" spans="1:18">
      <c r="A26" s="84"/>
      <c r="B26" s="20" t="s">
        <v>545</v>
      </c>
      <c r="C26" s="84"/>
      <c r="D26" s="76">
        <v>800</v>
      </c>
      <c r="F26" s="13" t="s">
        <v>546</v>
      </c>
      <c r="H26" s="3" t="s">
        <v>138</v>
      </c>
      <c r="J26" s="86"/>
      <c r="L26" s="85" t="b">
        <v>0</v>
      </c>
      <c r="M26" s="86">
        <v>45945</v>
      </c>
      <c r="O26" s="85" t="b">
        <v>1</v>
      </c>
      <c r="R26" s="85" t="b">
        <v>0</v>
      </c>
    </row>
    <row r="27" spans="1:18">
      <c r="A27" s="84"/>
      <c r="B27" s="20" t="s">
        <v>547</v>
      </c>
      <c r="C27" s="84"/>
      <c r="F27" s="13" t="s">
        <v>546</v>
      </c>
      <c r="H27" s="3" t="s">
        <v>138</v>
      </c>
      <c r="J27" s="86"/>
      <c r="L27" s="85" t="b">
        <v>0</v>
      </c>
      <c r="M27" s="86"/>
      <c r="O27" s="85" t="b">
        <v>0</v>
      </c>
      <c r="R27" s="85" t="b">
        <v>0</v>
      </c>
    </row>
    <row r="28" spans="1:18">
      <c r="A28" s="84"/>
      <c r="B28" s="20" t="s">
        <v>548</v>
      </c>
      <c r="C28" s="84"/>
      <c r="F28" s="76">
        <v>88.52</v>
      </c>
      <c r="H28" s="3" t="s">
        <v>549</v>
      </c>
      <c r="J28" s="86"/>
      <c r="L28" s="85" t="b">
        <v>0</v>
      </c>
      <c r="M28" s="86">
        <v>45946</v>
      </c>
      <c r="O28" s="85" t="b">
        <v>0</v>
      </c>
      <c r="R28" s="85" t="b">
        <v>0</v>
      </c>
    </row>
    <row r="29" spans="1:18">
      <c r="A29" s="84"/>
      <c r="B29" s="20" t="s">
        <v>550</v>
      </c>
      <c r="C29" s="84"/>
      <c r="F29" s="13" t="s">
        <v>549</v>
      </c>
      <c r="H29" s="3" t="s">
        <v>549</v>
      </c>
      <c r="J29" s="86"/>
      <c r="L29" s="85" t="b">
        <v>0</v>
      </c>
      <c r="M29" s="86"/>
      <c r="O29" s="85" t="b">
        <v>0</v>
      </c>
      <c r="R29" s="85" t="b">
        <v>0</v>
      </c>
    </row>
    <row r="30" spans="1:18">
      <c r="A30" s="84"/>
      <c r="B30" s="20"/>
      <c r="C30" s="84"/>
      <c r="J30" s="86"/>
      <c r="L30" s="85" t="b">
        <v>0</v>
      </c>
      <c r="M30" s="86"/>
      <c r="O30" s="85" t="b">
        <v>0</v>
      </c>
      <c r="R30" s="85" t="b">
        <v>0</v>
      </c>
    </row>
    <row r="31" spans="1:18">
      <c r="A31" s="84"/>
      <c r="B31" s="84"/>
      <c r="C31" s="84"/>
      <c r="J31" s="86"/>
      <c r="L31" s="85" t="b">
        <v>0</v>
      </c>
      <c r="M31" s="86"/>
      <c r="O31" s="85" t="b">
        <v>0</v>
      </c>
      <c r="R31" s="85" t="b">
        <v>0</v>
      </c>
    </row>
    <row r="32" spans="1:18">
      <c r="A32" s="20"/>
      <c r="B32" s="20" t="s">
        <v>551</v>
      </c>
      <c r="C32" s="84"/>
      <c r="F32" s="13" t="s">
        <v>527</v>
      </c>
      <c r="H32" s="3" t="s">
        <v>89</v>
      </c>
      <c r="J32" s="86"/>
      <c r="L32" s="85" t="b">
        <v>0</v>
      </c>
      <c r="M32" s="86"/>
      <c r="O32" s="85" t="b">
        <v>0</v>
      </c>
      <c r="R32" s="85" t="b">
        <v>0</v>
      </c>
    </row>
    <row r="33" spans="1:18">
      <c r="A33" s="84"/>
      <c r="B33" s="20"/>
      <c r="C33" s="84"/>
      <c r="J33" s="86"/>
      <c r="L33" s="85" t="b">
        <v>0</v>
      </c>
      <c r="M33" s="86"/>
      <c r="O33" s="85" t="b">
        <v>0</v>
      </c>
      <c r="R33" s="85" t="b">
        <v>0</v>
      </c>
    </row>
    <row r="34" spans="1:18">
      <c r="A34" s="20" t="s">
        <v>96</v>
      </c>
      <c r="B34" s="20" t="s">
        <v>552</v>
      </c>
      <c r="C34" s="84"/>
      <c r="H34" s="3" t="s">
        <v>553</v>
      </c>
      <c r="J34" s="86"/>
      <c r="L34" s="85" t="b">
        <v>0</v>
      </c>
      <c r="M34" s="86"/>
      <c r="O34" s="85" t="b">
        <v>0</v>
      </c>
      <c r="R34" s="85" t="b">
        <v>0</v>
      </c>
    </row>
    <row r="35" spans="1:18">
      <c r="A35" s="84"/>
      <c r="B35" s="3" t="s">
        <v>99</v>
      </c>
      <c r="C35" s="84"/>
      <c r="J35" s="86"/>
      <c r="L35" s="85" t="b">
        <v>0</v>
      </c>
      <c r="M35" s="86"/>
      <c r="O35" s="85" t="b">
        <v>0</v>
      </c>
      <c r="R35" s="85" t="b">
        <v>0</v>
      </c>
    </row>
    <row r="36" spans="1:18">
      <c r="A36" s="84"/>
      <c r="B36" s="20" t="s">
        <v>554</v>
      </c>
      <c r="C36" s="84"/>
      <c r="J36" s="86"/>
      <c r="L36" s="85" t="b">
        <v>0</v>
      </c>
      <c r="M36" s="86"/>
      <c r="O36" s="85" t="b">
        <v>0</v>
      </c>
      <c r="R36" s="85" t="b">
        <v>0</v>
      </c>
    </row>
    <row r="37" spans="1:18">
      <c r="A37" s="84"/>
      <c r="B37" s="20"/>
      <c r="C37" s="84"/>
      <c r="J37" s="86"/>
      <c r="L37" s="85" t="b">
        <v>0</v>
      </c>
      <c r="M37" s="86"/>
      <c r="O37" s="85" t="b">
        <v>0</v>
      </c>
      <c r="R37" s="85" t="b">
        <v>0</v>
      </c>
    </row>
    <row r="38" spans="1:18" s="5" customFormat="1">
      <c r="A38" s="52" t="s">
        <v>555</v>
      </c>
      <c r="B38" s="52" t="s">
        <v>556</v>
      </c>
      <c r="C38" s="52"/>
      <c r="D38" s="11"/>
      <c r="E38" s="11"/>
      <c r="F38" s="11">
        <v>801.5</v>
      </c>
      <c r="H38" s="5" t="s">
        <v>557</v>
      </c>
      <c r="J38" s="24"/>
      <c r="L38" s="66" t="b">
        <v>0</v>
      </c>
      <c r="M38" s="24"/>
      <c r="O38" s="66" t="b">
        <v>0</v>
      </c>
      <c r="R38" s="66" t="b">
        <v>0</v>
      </c>
    </row>
    <row r="39" spans="1:18">
      <c r="A39" s="84"/>
      <c r="B39" s="84"/>
      <c r="C39" s="84"/>
      <c r="J39" s="86"/>
      <c r="L39" s="83"/>
      <c r="O39" s="83"/>
      <c r="R39" s="83"/>
    </row>
    <row r="40" spans="1:18">
      <c r="A40" s="52" t="s">
        <v>558</v>
      </c>
      <c r="B40" s="20" t="s">
        <v>559</v>
      </c>
      <c r="C40" s="84"/>
      <c r="F40" s="13" t="s">
        <v>261</v>
      </c>
      <c r="H40" s="13" t="s">
        <v>261</v>
      </c>
      <c r="J40" s="86"/>
      <c r="L40" s="85" t="b">
        <v>0</v>
      </c>
      <c r="M40" s="86"/>
      <c r="O40" s="85" t="b">
        <v>0</v>
      </c>
      <c r="P40" s="86"/>
      <c r="R40" s="85" t="b">
        <v>0</v>
      </c>
    </row>
    <row r="41" spans="1:18">
      <c r="A41" s="84"/>
      <c r="B41" s="84"/>
      <c r="C41" s="84"/>
      <c r="J41" s="86"/>
      <c r="L41" s="85" t="b">
        <v>0</v>
      </c>
      <c r="M41" s="86"/>
      <c r="O41" s="85" t="b">
        <v>0</v>
      </c>
      <c r="P41" s="86"/>
      <c r="R41" s="85" t="b">
        <v>0</v>
      </c>
    </row>
    <row r="42" spans="1:18">
      <c r="A42" s="84"/>
      <c r="B42" s="84"/>
      <c r="C42" s="84"/>
      <c r="J42" s="86"/>
      <c r="L42" s="85" t="b">
        <v>0</v>
      </c>
      <c r="M42" s="86"/>
      <c r="O42" s="85" t="b">
        <v>0</v>
      </c>
      <c r="P42" s="86"/>
      <c r="R42" s="85" t="b">
        <v>0</v>
      </c>
    </row>
    <row r="43" spans="1:18">
      <c r="A43" s="84"/>
      <c r="B43" s="20"/>
      <c r="C43" s="84"/>
      <c r="J43" s="86"/>
      <c r="L43" s="85" t="b">
        <v>0</v>
      </c>
      <c r="M43" s="86"/>
      <c r="O43" s="85" t="b">
        <v>0</v>
      </c>
      <c r="P43" s="86"/>
      <c r="R43" s="85" t="b">
        <v>0</v>
      </c>
    </row>
    <row r="44" spans="1:18" s="5" customFormat="1">
      <c r="A44" s="52"/>
      <c r="B44" s="52" t="s">
        <v>106</v>
      </c>
      <c r="C44" s="52"/>
      <c r="D44" s="11">
        <f>SUM(D5:D43)</f>
        <v>6950</v>
      </c>
      <c r="E44" s="11"/>
      <c r="F44" s="11">
        <f>SUM(F5:F43)</f>
        <v>11918.51</v>
      </c>
      <c r="J44" s="24"/>
      <c r="L44" s="66" t="b">
        <v>0</v>
      </c>
      <c r="M44" s="24"/>
      <c r="O44" s="66" t="b">
        <v>0</v>
      </c>
      <c r="P44" s="24"/>
      <c r="R44" s="66" t="b">
        <v>0</v>
      </c>
    </row>
    <row r="45" spans="1:18" s="5" customFormat="1">
      <c r="A45" s="52"/>
      <c r="B45" s="52" t="s">
        <v>67</v>
      </c>
      <c r="C45" s="52"/>
      <c r="D45" s="11"/>
      <c r="E45" s="11"/>
      <c r="F45" s="98">
        <v>-6950</v>
      </c>
      <c r="J45" s="24"/>
      <c r="L45" s="66" t="b">
        <v>0</v>
      </c>
      <c r="M45" s="24"/>
      <c r="O45" s="66" t="b">
        <v>0</v>
      </c>
      <c r="P45" s="24"/>
      <c r="R45" s="66" t="b">
        <v>0</v>
      </c>
    </row>
    <row r="46" spans="1:18" s="5" customFormat="1">
      <c r="A46" s="52"/>
      <c r="B46" s="52" t="s">
        <v>107</v>
      </c>
      <c r="C46" s="52"/>
      <c r="D46" s="11"/>
      <c r="E46" s="11"/>
      <c r="F46" s="11">
        <f>SUM(F44:F45)</f>
        <v>4968.51</v>
      </c>
      <c r="J46" s="24"/>
      <c r="L46" s="66" t="b">
        <v>0</v>
      </c>
      <c r="M46" s="24"/>
      <c r="O46" s="66" t="b">
        <v>0</v>
      </c>
      <c r="P46" s="24"/>
      <c r="R46" s="66" t="b">
        <v>0</v>
      </c>
    </row>
    <row r="47" spans="1:18">
      <c r="A47" s="84"/>
      <c r="B47" s="84"/>
      <c r="C47" s="84"/>
      <c r="J47" s="86"/>
      <c r="L47" s="85" t="b">
        <v>0</v>
      </c>
      <c r="M47" s="86"/>
      <c r="O47" s="85" t="b">
        <v>0</v>
      </c>
      <c r="P47" s="86"/>
      <c r="R47" s="85" t="b">
        <v>0</v>
      </c>
    </row>
    <row r="48" spans="1:18">
      <c r="A48" s="84"/>
      <c r="B48" s="84"/>
      <c r="C48" s="84"/>
      <c r="J48" s="86"/>
      <c r="L48" s="85" t="b">
        <v>0</v>
      </c>
      <c r="M48" s="86"/>
      <c r="O48" s="85" t="b">
        <v>0</v>
      </c>
      <c r="P48" s="86"/>
      <c r="R48" s="85" t="b">
        <v>0</v>
      </c>
    </row>
    <row r="49" spans="1:18">
      <c r="A49" s="84"/>
      <c r="B49" s="84"/>
      <c r="C49" s="84"/>
      <c r="J49" s="86"/>
      <c r="L49" s="85" t="b">
        <v>0</v>
      </c>
      <c r="M49" s="86"/>
      <c r="O49" s="85" t="b">
        <v>0</v>
      </c>
      <c r="P49" s="86"/>
      <c r="R49" s="85" t="b">
        <v>0</v>
      </c>
    </row>
    <row r="50" spans="1:18">
      <c r="A50" s="20"/>
      <c r="B50" s="20"/>
      <c r="C50" s="84"/>
      <c r="J50" s="86"/>
      <c r="L50" s="85" t="b">
        <v>0</v>
      </c>
      <c r="M50" s="86"/>
      <c r="O50" s="85" t="b">
        <v>0</v>
      </c>
      <c r="P50" s="86"/>
      <c r="R50" s="85" t="b">
        <v>0</v>
      </c>
    </row>
    <row r="51" spans="1:18">
      <c r="A51" s="84"/>
      <c r="B51" s="20"/>
      <c r="C51" s="84"/>
      <c r="J51" s="86"/>
      <c r="L51" s="85" t="b">
        <v>0</v>
      </c>
      <c r="M51" s="86"/>
      <c r="O51" s="85" t="b">
        <v>0</v>
      </c>
      <c r="P51" s="86"/>
      <c r="R51" s="85" t="b">
        <v>0</v>
      </c>
    </row>
    <row r="52" spans="1:18">
      <c r="A52" s="84"/>
      <c r="B52" s="20"/>
      <c r="C52" s="84"/>
      <c r="J52" s="86"/>
      <c r="L52" s="85" t="b">
        <v>0</v>
      </c>
      <c r="M52" s="86"/>
      <c r="O52" s="85" t="b">
        <v>0</v>
      </c>
      <c r="P52" s="86"/>
      <c r="R52" s="85" t="b">
        <v>0</v>
      </c>
    </row>
    <row r="53" spans="1:18">
      <c r="A53" s="84"/>
      <c r="B53" s="84"/>
      <c r="C53" s="84"/>
      <c r="J53" s="86"/>
      <c r="L53" s="85" t="b">
        <v>0</v>
      </c>
      <c r="M53" s="86"/>
      <c r="O53" s="85" t="b">
        <v>0</v>
      </c>
      <c r="P53" s="86"/>
      <c r="R53" s="85" t="b">
        <v>0</v>
      </c>
    </row>
    <row r="54" spans="1:18">
      <c r="A54" s="84"/>
      <c r="B54" s="20"/>
      <c r="C54" s="84"/>
      <c r="J54" s="86"/>
      <c r="L54" s="85" t="b">
        <v>0</v>
      </c>
      <c r="M54" s="86"/>
      <c r="O54" s="85" t="b">
        <v>0</v>
      </c>
      <c r="P54" s="86"/>
      <c r="R54" s="85" t="b">
        <v>0</v>
      </c>
    </row>
    <row r="55" spans="1:18">
      <c r="A55" s="84"/>
      <c r="B55" s="84"/>
      <c r="C55" s="84"/>
      <c r="J55" s="86"/>
      <c r="L55" s="85" t="b">
        <v>0</v>
      </c>
      <c r="M55" s="86"/>
      <c r="O55" s="85" t="b">
        <v>0</v>
      </c>
      <c r="P55" s="86"/>
      <c r="R55" s="85" t="b">
        <v>0</v>
      </c>
    </row>
    <row r="56" spans="1:18">
      <c r="A56" s="84"/>
      <c r="B56" s="84"/>
      <c r="C56" s="84"/>
      <c r="J56" s="86"/>
      <c r="L56" s="85" t="b">
        <v>0</v>
      </c>
      <c r="M56" s="86"/>
      <c r="O56" s="85" t="b">
        <v>0</v>
      </c>
      <c r="P56" s="86"/>
      <c r="R56" s="85" t="b">
        <v>0</v>
      </c>
    </row>
    <row r="57" spans="1:18">
      <c r="A57" s="84"/>
      <c r="B57" s="84"/>
      <c r="C57" s="84"/>
      <c r="J57" s="86"/>
      <c r="L57" s="85" t="b">
        <v>0</v>
      </c>
      <c r="M57" s="86"/>
      <c r="O57" s="85" t="b">
        <v>0</v>
      </c>
      <c r="P57" s="86"/>
      <c r="R57" s="85" t="b">
        <v>0</v>
      </c>
    </row>
    <row r="58" spans="1:18">
      <c r="A58" s="84"/>
      <c r="B58" s="84"/>
      <c r="C58" s="84"/>
      <c r="J58" s="86"/>
      <c r="L58" s="85" t="b">
        <v>0</v>
      </c>
      <c r="M58" s="86"/>
      <c r="O58" s="85" t="b">
        <v>0</v>
      </c>
      <c r="P58" s="86"/>
      <c r="R58" s="85" t="b">
        <v>0</v>
      </c>
    </row>
    <row r="59" spans="1:18">
      <c r="A59" s="84"/>
      <c r="B59" s="84"/>
      <c r="C59" s="84"/>
      <c r="J59" s="86"/>
      <c r="L59" s="85" t="b">
        <v>0</v>
      </c>
      <c r="M59" s="86"/>
      <c r="O59" s="85" t="b">
        <v>0</v>
      </c>
      <c r="P59" s="86"/>
      <c r="R59" s="85" t="b">
        <v>0</v>
      </c>
    </row>
    <row r="60" spans="1:18">
      <c r="J60" s="75"/>
      <c r="L60" s="83"/>
      <c r="O60" s="83"/>
      <c r="R60" s="83"/>
    </row>
    <row r="61" spans="1:18">
      <c r="A61" s="3"/>
      <c r="B61" s="3"/>
      <c r="J61" s="75"/>
      <c r="L61" s="83"/>
      <c r="O61" s="83"/>
      <c r="R61" s="83"/>
    </row>
    <row r="62" spans="1:18">
      <c r="J62" s="75"/>
      <c r="L62" s="83"/>
      <c r="O62" s="83"/>
      <c r="R62" s="83"/>
    </row>
    <row r="63" spans="1:18">
      <c r="L63" s="83"/>
      <c r="O63" s="83"/>
      <c r="R63" s="83"/>
    </row>
    <row r="64" spans="1:18">
      <c r="L64" s="91"/>
      <c r="O64" s="91"/>
      <c r="R64" s="91"/>
    </row>
    <row r="65" spans="2:18" s="75" customFormat="1">
      <c r="D65" s="78"/>
      <c r="E65" s="78"/>
      <c r="F65" s="78"/>
      <c r="L65" s="92"/>
      <c r="O65" s="92"/>
      <c r="R65" s="92"/>
    </row>
    <row r="66" spans="2:18" s="75" customFormat="1">
      <c r="D66" s="78"/>
      <c r="E66" s="78"/>
      <c r="F66" s="78"/>
      <c r="J66" s="74"/>
      <c r="L66" s="91"/>
      <c r="O66" s="91"/>
      <c r="R66" s="91"/>
    </row>
    <row r="67" spans="2:18" s="75" customFormat="1">
      <c r="B67" s="74"/>
      <c r="C67" s="74"/>
      <c r="D67" s="78"/>
      <c r="E67" s="78"/>
      <c r="F67" s="78"/>
      <c r="L67" s="77"/>
      <c r="O67" s="77"/>
      <c r="R67" s="77"/>
    </row>
    <row r="68" spans="2:18" s="75" customFormat="1">
      <c r="B68" s="74"/>
      <c r="C68" s="74"/>
      <c r="D68" s="78"/>
      <c r="E68" s="78"/>
      <c r="F68" s="78"/>
      <c r="L68" s="77"/>
      <c r="O68" s="77"/>
      <c r="R68" s="77"/>
    </row>
    <row r="69" spans="2:18">
      <c r="J69" s="75"/>
      <c r="L69" s="77"/>
      <c r="O69" s="77"/>
      <c r="R69" s="77"/>
    </row>
    <row r="70" spans="2:18">
      <c r="J70" s="75"/>
      <c r="L70" s="83"/>
      <c r="O70" s="83"/>
      <c r="R70" s="83"/>
    </row>
    <row r="71" spans="2:18">
      <c r="J71" s="75"/>
      <c r="L71" s="83"/>
      <c r="O71" s="83"/>
      <c r="R71" s="83"/>
    </row>
    <row r="72" spans="2:18" s="5" customFormat="1">
      <c r="B72" s="5" t="s">
        <v>108</v>
      </c>
      <c r="D72" s="11">
        <f>SUM(D5:D71)</f>
        <v>13900</v>
      </c>
      <c r="E72" s="11"/>
      <c r="F72" s="11"/>
      <c r="L72" s="4"/>
      <c r="O72" s="4"/>
      <c r="R72" s="4"/>
    </row>
    <row r="73" spans="2:18">
      <c r="L73" s="83"/>
      <c r="O73" s="83"/>
      <c r="R73" s="83"/>
    </row>
    <row r="74" spans="2:18">
      <c r="L74" s="83"/>
      <c r="O74" s="83"/>
      <c r="R74" s="83"/>
    </row>
    <row r="75" spans="2:18">
      <c r="L75" s="83"/>
      <c r="O75" s="83"/>
      <c r="R75" s="83"/>
    </row>
    <row r="76" spans="2:18">
      <c r="L76" s="83"/>
      <c r="O76" s="83"/>
      <c r="R76" s="83"/>
    </row>
    <row r="77" spans="2:18">
      <c r="L77" s="83"/>
      <c r="O77" s="83"/>
      <c r="R77" s="83"/>
    </row>
    <row r="78" spans="2:18">
      <c r="L78" s="83"/>
      <c r="O78" s="83"/>
      <c r="R78" s="83"/>
    </row>
    <row r="79" spans="2:18">
      <c r="L79" s="83"/>
      <c r="O79" s="83"/>
      <c r="R79" s="83"/>
    </row>
    <row r="80" spans="2:18">
      <c r="L80" s="83"/>
      <c r="O80" s="83"/>
      <c r="R80" s="83"/>
    </row>
    <row r="81" spans="12:18">
      <c r="L81" s="83"/>
      <c r="O81" s="83"/>
      <c r="R81" s="83"/>
    </row>
    <row r="82" spans="12:18">
      <c r="L82" s="83"/>
      <c r="O82" s="83"/>
      <c r="R82" s="83"/>
    </row>
  </sheetData>
  <pageMargins left="0.7" right="0.7" top="0.75" bottom="0.75" header="0.3" footer="0.3"/>
  <pageSetup orientation="portrait" horizontalDpi="203" verticalDpi="20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572D-AC54-4918-84A7-7738B02C2B91}">
  <dimension ref="A1:U85"/>
  <sheetViews>
    <sheetView topLeftCell="B1" workbookViewId="0">
      <pane ySplit="2" topLeftCell="A33" activePane="bottomLeft" state="frozen"/>
      <selection pane="bottomLeft" activeCell="G42" sqref="G42"/>
      <selection activeCell="C1" sqref="C1"/>
    </sheetView>
  </sheetViews>
  <sheetFormatPr defaultColWidth="8.85546875" defaultRowHeight="15.95"/>
  <cols>
    <col min="1" max="1" width="12.7109375" style="3" customWidth="1"/>
    <col min="2" max="2" width="8.85546875" style="3"/>
    <col min="3" max="3" width="32.140625" style="3" customWidth="1"/>
    <col min="4" max="4" width="2.7109375" style="3" customWidth="1"/>
    <col min="5" max="5" width="15" style="13" customWidth="1"/>
    <col min="6" max="6" width="1.85546875" style="13" customWidth="1"/>
    <col min="7" max="7" width="20" style="13" customWidth="1"/>
    <col min="8" max="8" width="2.7109375" style="3" customWidth="1"/>
    <col min="9" max="9" width="26.5703125" style="3" customWidth="1"/>
    <col min="10" max="10" width="2.42578125" style="3" customWidth="1"/>
    <col min="11" max="11" width="13.7109375" style="3" customWidth="1"/>
    <col min="12" max="12" width="2.7109375" style="3" customWidth="1"/>
    <col min="13" max="13" width="6.28515625" style="3" customWidth="1"/>
    <col min="14" max="14" width="13.7109375" style="3" customWidth="1"/>
    <col min="15" max="15" width="2.7109375" style="3" customWidth="1"/>
    <col min="16" max="16" width="8.85546875" style="3"/>
    <col min="17" max="17" width="11.42578125" style="3" customWidth="1"/>
    <col min="18" max="18" width="2.140625" style="3" customWidth="1"/>
    <col min="19" max="19" width="8.85546875" style="3"/>
    <col min="20" max="20" width="11.42578125" style="3" customWidth="1"/>
    <col min="21" max="21" width="32.5703125" style="3" customWidth="1"/>
    <col min="22" max="22" width="21.42578125" style="3" customWidth="1"/>
    <col min="23" max="16384" width="8.85546875" style="3"/>
  </cols>
  <sheetData>
    <row r="1" spans="1:21" s="5" customFormat="1">
      <c r="A1" s="4" t="s">
        <v>560</v>
      </c>
      <c r="E1" s="11"/>
      <c r="F1" s="11"/>
      <c r="G1" s="11"/>
      <c r="M1" s="4"/>
      <c r="P1" s="4"/>
      <c r="S1" s="4"/>
    </row>
    <row r="2" spans="1:21" s="5" customFormat="1" ht="47.65">
      <c r="B2" s="4"/>
      <c r="C2" s="5" t="s">
        <v>561</v>
      </c>
      <c r="E2" s="12" t="s">
        <v>67</v>
      </c>
      <c r="F2" s="12"/>
      <c r="G2" s="12" t="s">
        <v>68</v>
      </c>
      <c r="H2" s="6"/>
      <c r="I2" s="6" t="s">
        <v>5</v>
      </c>
      <c r="J2" s="6"/>
      <c r="K2" s="7" t="s">
        <v>193</v>
      </c>
      <c r="M2" s="17"/>
      <c r="N2" s="7" t="s">
        <v>69</v>
      </c>
      <c r="P2" s="17"/>
      <c r="Q2" s="7" t="s">
        <v>70</v>
      </c>
      <c r="S2" s="17"/>
      <c r="T2" s="7" t="s">
        <v>71</v>
      </c>
      <c r="U2" s="6" t="s">
        <v>72</v>
      </c>
    </row>
    <row r="3" spans="1:21" s="5" customFormat="1">
      <c r="A3" s="4" t="s">
        <v>73</v>
      </c>
      <c r="E3" s="11"/>
      <c r="F3" s="11"/>
      <c r="G3" s="11"/>
    </row>
    <row r="4" spans="1:21">
      <c r="B4" s="1"/>
      <c r="M4" s="1"/>
      <c r="P4" s="1"/>
      <c r="S4" s="1"/>
    </row>
    <row r="5" spans="1:21">
      <c r="A5" s="20"/>
      <c r="B5" s="20"/>
      <c r="C5" s="20" t="s">
        <v>215</v>
      </c>
      <c r="D5" s="20"/>
      <c r="E5" s="13">
        <v>150</v>
      </c>
      <c r="M5" s="1"/>
      <c r="P5" s="1"/>
      <c r="S5" s="1"/>
    </row>
    <row r="6" spans="1:21">
      <c r="A6" s="20"/>
      <c r="B6" s="20"/>
      <c r="C6" s="20" t="s">
        <v>562</v>
      </c>
      <c r="D6" s="20"/>
      <c r="M6" s="8" t="b">
        <v>0</v>
      </c>
      <c r="P6" s="8" t="b">
        <v>0</v>
      </c>
      <c r="S6" s="8" t="b">
        <v>0</v>
      </c>
    </row>
    <row r="7" spans="1:21">
      <c r="A7" s="20"/>
      <c r="B7" s="20"/>
      <c r="C7" s="20"/>
      <c r="D7" s="20"/>
      <c r="K7" s="10"/>
      <c r="M7" s="8" t="b">
        <v>0</v>
      </c>
      <c r="N7" s="10"/>
      <c r="P7" s="8" t="b">
        <v>0</v>
      </c>
      <c r="S7" s="8" t="b">
        <v>0</v>
      </c>
    </row>
    <row r="8" spans="1:21">
      <c r="A8" s="20"/>
      <c r="B8" s="20"/>
      <c r="C8" s="20"/>
      <c r="D8" s="20"/>
      <c r="M8" s="8" t="b">
        <v>0</v>
      </c>
      <c r="P8" s="8" t="b">
        <v>0</v>
      </c>
      <c r="S8" s="8" t="b">
        <v>0</v>
      </c>
    </row>
    <row r="9" spans="1:21">
      <c r="A9" s="20"/>
      <c r="B9" s="20"/>
      <c r="C9" s="20"/>
      <c r="D9" s="20"/>
      <c r="M9" s="8" t="b">
        <v>0</v>
      </c>
      <c r="P9" s="8" t="b">
        <v>0</v>
      </c>
      <c r="S9" s="8" t="b">
        <v>0</v>
      </c>
    </row>
    <row r="10" spans="1:21">
      <c r="A10" s="20"/>
      <c r="B10" s="20"/>
      <c r="C10" s="20"/>
      <c r="D10" s="20"/>
      <c r="M10" s="8" t="b">
        <v>0</v>
      </c>
      <c r="N10" s="10"/>
      <c r="P10" s="8" t="b">
        <v>0</v>
      </c>
      <c r="S10" s="8" t="b">
        <v>0</v>
      </c>
    </row>
    <row r="11" spans="1:21">
      <c r="A11" s="20" t="s">
        <v>563</v>
      </c>
      <c r="B11" s="20"/>
      <c r="C11" s="20" t="s">
        <v>82</v>
      </c>
      <c r="D11" s="20"/>
      <c r="K11" s="10"/>
      <c r="M11" s="8" t="b">
        <v>0</v>
      </c>
      <c r="N11" s="10"/>
      <c r="P11" s="8" t="b">
        <v>0</v>
      </c>
      <c r="Q11" s="10"/>
      <c r="S11" s="8" t="b">
        <v>0</v>
      </c>
    </row>
    <row r="12" spans="1:21">
      <c r="A12" s="20"/>
      <c r="B12" s="20"/>
      <c r="C12" s="20" t="s">
        <v>512</v>
      </c>
      <c r="D12" s="20"/>
      <c r="E12" s="13">
        <v>1250</v>
      </c>
      <c r="G12" s="13">
        <v>3789.27</v>
      </c>
      <c r="I12" s="3" t="s">
        <v>6</v>
      </c>
      <c r="K12" s="10"/>
      <c r="M12" s="8" t="b">
        <v>0</v>
      </c>
      <c r="N12" s="10">
        <v>45875</v>
      </c>
      <c r="P12" s="8" t="b">
        <v>0</v>
      </c>
      <c r="Q12" s="10"/>
      <c r="S12" s="8" t="b">
        <v>0</v>
      </c>
    </row>
    <row r="13" spans="1:21">
      <c r="A13" s="20"/>
      <c r="B13" s="20"/>
      <c r="C13" s="20" t="s">
        <v>28</v>
      </c>
      <c r="D13" s="20"/>
      <c r="E13" s="13">
        <v>800</v>
      </c>
      <c r="K13" s="10"/>
      <c r="M13" s="8" t="b">
        <v>0</v>
      </c>
      <c r="N13" s="10"/>
      <c r="P13" s="8" t="b">
        <v>0</v>
      </c>
      <c r="Q13" s="10"/>
      <c r="S13" s="8" t="b">
        <v>0</v>
      </c>
    </row>
    <row r="14" spans="1:21">
      <c r="A14" s="20"/>
      <c r="B14" s="20"/>
      <c r="C14" s="20" t="s">
        <v>564</v>
      </c>
      <c r="D14" s="20"/>
      <c r="K14" s="10"/>
      <c r="M14" s="8" t="b">
        <v>0</v>
      </c>
      <c r="N14" s="10"/>
      <c r="P14" s="8" t="b">
        <v>0</v>
      </c>
      <c r="Q14" s="10"/>
      <c r="S14" s="8" t="b">
        <v>0</v>
      </c>
    </row>
    <row r="15" spans="1:21">
      <c r="A15" s="20"/>
      <c r="B15" s="20"/>
      <c r="C15" s="20" t="s">
        <v>223</v>
      </c>
      <c r="D15" s="20"/>
      <c r="K15" s="10"/>
      <c r="M15" s="8" t="b">
        <v>0</v>
      </c>
      <c r="N15" s="10"/>
      <c r="P15" s="8" t="b">
        <v>0</v>
      </c>
      <c r="Q15" s="10"/>
      <c r="S15" s="8" t="b">
        <v>0</v>
      </c>
    </row>
    <row r="16" spans="1:21">
      <c r="A16" s="20"/>
      <c r="B16" s="20"/>
      <c r="C16" s="20" t="s">
        <v>565</v>
      </c>
      <c r="D16" s="20"/>
      <c r="K16" s="10"/>
      <c r="M16" s="8" t="b">
        <v>0</v>
      </c>
      <c r="N16" s="10"/>
      <c r="P16" s="8" t="b">
        <v>0</v>
      </c>
      <c r="Q16" s="10"/>
      <c r="S16" s="8" t="b">
        <v>0</v>
      </c>
    </row>
    <row r="17" spans="1:19">
      <c r="A17" s="20"/>
      <c r="B17" s="20"/>
      <c r="C17" s="20" t="s">
        <v>566</v>
      </c>
      <c r="D17" s="20"/>
      <c r="K17" s="10"/>
      <c r="M17" s="8" t="b">
        <v>0</v>
      </c>
      <c r="N17" s="10"/>
      <c r="P17" s="8" t="b">
        <v>0</v>
      </c>
      <c r="Q17" s="10"/>
      <c r="S17" s="8" t="b">
        <v>0</v>
      </c>
    </row>
    <row r="18" spans="1:19">
      <c r="A18" s="20"/>
      <c r="B18" s="20"/>
      <c r="C18" s="20" t="s">
        <v>567</v>
      </c>
      <c r="D18" s="20"/>
      <c r="K18" s="10"/>
      <c r="M18" s="8" t="b">
        <v>0</v>
      </c>
      <c r="N18" s="10"/>
      <c r="P18" s="8" t="b">
        <v>0</v>
      </c>
      <c r="Q18" s="10"/>
      <c r="S18" s="8" t="b">
        <v>0</v>
      </c>
    </row>
    <row r="19" spans="1:19">
      <c r="A19" s="20"/>
      <c r="B19" s="20"/>
      <c r="C19" s="20" t="s">
        <v>568</v>
      </c>
      <c r="D19" s="20"/>
      <c r="K19" s="10"/>
      <c r="M19" s="8" t="b">
        <v>0</v>
      </c>
      <c r="N19" s="10"/>
      <c r="P19" s="8" t="b">
        <v>0</v>
      </c>
      <c r="Q19" s="10"/>
      <c r="S19" s="8" t="b">
        <v>0</v>
      </c>
    </row>
    <row r="20" spans="1:19">
      <c r="A20" s="20"/>
      <c r="B20" s="20"/>
      <c r="C20" s="20" t="s">
        <v>569</v>
      </c>
      <c r="D20" s="20"/>
      <c r="K20" s="10"/>
      <c r="M20" s="8" t="b">
        <v>0</v>
      </c>
      <c r="N20" s="10"/>
      <c r="P20" s="8" t="b">
        <v>0</v>
      </c>
      <c r="Q20" s="10"/>
      <c r="S20" s="8" t="b">
        <v>0</v>
      </c>
    </row>
    <row r="21" spans="1:19">
      <c r="A21" s="20"/>
      <c r="B21" s="20"/>
      <c r="C21" s="20" t="s">
        <v>570</v>
      </c>
      <c r="D21" s="20"/>
      <c r="K21" s="10"/>
      <c r="M21" s="8" t="b">
        <v>0</v>
      </c>
      <c r="N21" s="10"/>
      <c r="P21" s="8" t="b">
        <v>0</v>
      </c>
      <c r="Q21" s="10"/>
      <c r="S21" s="8" t="b">
        <v>0</v>
      </c>
    </row>
    <row r="22" spans="1:19">
      <c r="A22" s="20"/>
      <c r="B22" s="20"/>
      <c r="C22" s="20" t="s">
        <v>571</v>
      </c>
      <c r="D22" s="20"/>
      <c r="K22" s="10"/>
      <c r="M22" s="8" t="b">
        <v>0</v>
      </c>
      <c r="N22" s="10"/>
      <c r="P22" s="8" t="b">
        <v>0</v>
      </c>
      <c r="Q22" s="10"/>
      <c r="S22" s="8" t="b">
        <v>0</v>
      </c>
    </row>
    <row r="23" spans="1:19">
      <c r="A23" s="20"/>
      <c r="B23" s="20"/>
      <c r="C23" s="20" t="s">
        <v>87</v>
      </c>
      <c r="D23" s="20"/>
      <c r="K23" s="10"/>
      <c r="M23" s="8" t="b">
        <v>0</v>
      </c>
      <c r="N23" s="10"/>
      <c r="P23" s="8" t="b">
        <v>0</v>
      </c>
      <c r="Q23" s="10"/>
      <c r="S23" s="8" t="b">
        <v>0</v>
      </c>
    </row>
    <row r="24" spans="1:19">
      <c r="A24" s="20"/>
      <c r="B24" s="20"/>
      <c r="C24" s="20" t="s">
        <v>572</v>
      </c>
      <c r="D24" s="20"/>
      <c r="K24" s="10"/>
      <c r="M24" s="8" t="b">
        <v>0</v>
      </c>
      <c r="N24" s="10"/>
      <c r="P24" s="8" t="b">
        <v>0</v>
      </c>
      <c r="Q24" s="10"/>
      <c r="S24" s="8" t="b">
        <v>0</v>
      </c>
    </row>
    <row r="25" spans="1:19">
      <c r="A25" s="20"/>
      <c r="B25" s="20"/>
      <c r="C25" s="20" t="s">
        <v>471</v>
      </c>
      <c r="D25" s="20"/>
      <c r="K25" s="10"/>
      <c r="M25" s="8" t="b">
        <v>0</v>
      </c>
      <c r="N25" s="10"/>
      <c r="P25" s="8" t="b">
        <v>0</v>
      </c>
      <c r="Q25" s="10"/>
      <c r="S25" s="8" t="b">
        <v>0</v>
      </c>
    </row>
    <row r="26" spans="1:19">
      <c r="A26" s="20"/>
      <c r="B26" s="20"/>
      <c r="C26" s="20" t="s">
        <v>573</v>
      </c>
      <c r="D26" s="20"/>
      <c r="K26" s="10"/>
      <c r="M26" s="8" t="b">
        <v>0</v>
      </c>
      <c r="N26" s="10"/>
      <c r="P26" s="8" t="b">
        <v>0</v>
      </c>
      <c r="Q26" s="10"/>
      <c r="S26" s="8" t="b">
        <v>0</v>
      </c>
    </row>
    <row r="27" spans="1:19">
      <c r="A27" s="20"/>
      <c r="B27" s="20"/>
      <c r="C27" s="20" t="s">
        <v>574</v>
      </c>
      <c r="D27" s="20"/>
      <c r="K27" s="10"/>
      <c r="M27" s="8" t="b">
        <v>0</v>
      </c>
      <c r="N27" s="10"/>
      <c r="P27" s="8" t="b">
        <v>0</v>
      </c>
      <c r="Q27" s="10"/>
      <c r="S27" s="8" t="b">
        <v>0</v>
      </c>
    </row>
    <row r="28" spans="1:19">
      <c r="A28" s="20"/>
      <c r="B28" s="20"/>
      <c r="C28" s="20" t="s">
        <v>391</v>
      </c>
      <c r="D28" s="20"/>
      <c r="K28" s="10"/>
      <c r="M28" s="8" t="b">
        <v>0</v>
      </c>
      <c r="N28" s="10"/>
      <c r="P28" s="8" t="b">
        <v>0</v>
      </c>
      <c r="Q28" s="10"/>
      <c r="S28" s="8" t="b">
        <v>0</v>
      </c>
    </row>
    <row r="29" spans="1:19">
      <c r="A29" s="20"/>
      <c r="B29" s="20"/>
      <c r="C29" s="20"/>
      <c r="D29" s="20"/>
      <c r="N29" s="10"/>
      <c r="P29" s="1"/>
      <c r="S29" s="1"/>
    </row>
    <row r="30" spans="1:19">
      <c r="A30" s="20" t="s">
        <v>324</v>
      </c>
      <c r="B30" s="20"/>
      <c r="C30" s="20" t="s">
        <v>575</v>
      </c>
      <c r="D30" s="20"/>
      <c r="K30" s="10"/>
      <c r="M30" s="8" t="b">
        <v>0</v>
      </c>
      <c r="N30" s="10"/>
      <c r="P30" s="8" t="b">
        <v>0</v>
      </c>
      <c r="S30" s="8" t="b">
        <v>0</v>
      </c>
    </row>
    <row r="31" spans="1:19">
      <c r="A31" s="20"/>
      <c r="B31" s="20"/>
      <c r="C31" s="20"/>
      <c r="D31" s="20"/>
      <c r="M31" s="1"/>
    </row>
    <row r="32" spans="1:19">
      <c r="A32" s="20"/>
      <c r="B32" s="20"/>
      <c r="C32" s="20"/>
      <c r="D32" s="20"/>
      <c r="M32" s="18"/>
      <c r="P32" s="18"/>
      <c r="S32" s="18"/>
    </row>
    <row r="33" spans="1:19">
      <c r="A33" s="20"/>
      <c r="B33" s="20"/>
      <c r="C33" s="20"/>
      <c r="D33" s="20"/>
      <c r="M33" s="18"/>
      <c r="P33" s="18"/>
      <c r="S33" s="18"/>
    </row>
    <row r="34" spans="1:19">
      <c r="A34" s="20" t="s">
        <v>407</v>
      </c>
      <c r="B34" s="20"/>
      <c r="C34" s="20" t="s">
        <v>576</v>
      </c>
      <c r="D34" s="20"/>
      <c r="E34" s="13">
        <v>2500</v>
      </c>
      <c r="G34" s="13">
        <v>2898.04</v>
      </c>
      <c r="I34" s="3" t="s">
        <v>577</v>
      </c>
      <c r="K34" s="10"/>
      <c r="M34" s="8" t="b">
        <v>0</v>
      </c>
      <c r="N34" s="10">
        <v>45878</v>
      </c>
      <c r="P34" s="8" t="b">
        <v>0</v>
      </c>
      <c r="S34" s="8" t="b">
        <v>0</v>
      </c>
    </row>
    <row r="35" spans="1:19">
      <c r="A35" s="20"/>
      <c r="B35" s="20"/>
      <c r="C35" s="21"/>
      <c r="D35" s="21"/>
      <c r="K35" s="10"/>
      <c r="M35" s="1"/>
      <c r="P35" s="1"/>
      <c r="S35" s="1"/>
    </row>
    <row r="36" spans="1:19">
      <c r="A36" s="20"/>
      <c r="B36" s="20"/>
      <c r="C36" s="20"/>
      <c r="D36" s="20"/>
      <c r="K36" s="10"/>
      <c r="M36" s="1"/>
      <c r="P36" s="1"/>
      <c r="S36" s="1"/>
    </row>
    <row r="37" spans="1:19">
      <c r="A37" s="20" t="s">
        <v>411</v>
      </c>
      <c r="B37" s="20"/>
      <c r="C37" s="20" t="s">
        <v>578</v>
      </c>
      <c r="D37" s="20"/>
      <c r="G37" s="13" t="s">
        <v>579</v>
      </c>
      <c r="I37" s="3" t="s">
        <v>577</v>
      </c>
      <c r="K37" s="10"/>
      <c r="M37" s="8" t="b">
        <v>0</v>
      </c>
      <c r="N37" s="10">
        <v>45878</v>
      </c>
      <c r="P37" s="8" t="b">
        <v>1</v>
      </c>
      <c r="S37" s="8" t="b">
        <v>0</v>
      </c>
    </row>
    <row r="38" spans="1:19">
      <c r="A38" s="20"/>
      <c r="B38" s="20"/>
      <c r="C38" s="20"/>
      <c r="D38" s="20"/>
      <c r="K38" s="10"/>
      <c r="M38" s="1"/>
      <c r="P38" s="1"/>
      <c r="S38" s="1"/>
    </row>
    <row r="39" spans="1:19">
      <c r="A39" s="20" t="s">
        <v>543</v>
      </c>
      <c r="B39" s="20"/>
      <c r="C39" s="20" t="s">
        <v>580</v>
      </c>
      <c r="D39" s="20"/>
      <c r="E39" s="13">
        <v>900</v>
      </c>
      <c r="G39" s="13">
        <f>1357.63+455.3-240</f>
        <v>1572.93</v>
      </c>
      <c r="I39" s="3" t="s">
        <v>138</v>
      </c>
      <c r="K39" s="10"/>
      <c r="M39" s="8" t="b">
        <v>0</v>
      </c>
      <c r="N39" s="10">
        <v>45874</v>
      </c>
      <c r="P39" s="8" t="b">
        <v>1</v>
      </c>
      <c r="S39" s="8" t="b">
        <v>0</v>
      </c>
    </row>
    <row r="40" spans="1:19">
      <c r="A40" s="20"/>
      <c r="B40" s="20"/>
      <c r="C40" s="20" t="s">
        <v>581</v>
      </c>
      <c r="D40" s="20"/>
      <c r="E40" s="13">
        <v>600</v>
      </c>
      <c r="I40" s="3" t="s">
        <v>138</v>
      </c>
      <c r="K40" s="10"/>
      <c r="M40" s="8" t="b">
        <v>0</v>
      </c>
      <c r="N40" s="10">
        <v>45874</v>
      </c>
      <c r="P40" s="8" t="b">
        <v>1</v>
      </c>
      <c r="S40" s="8" t="b">
        <v>0</v>
      </c>
    </row>
    <row r="41" spans="1:19">
      <c r="A41" s="20"/>
      <c r="B41" s="20"/>
      <c r="C41" s="20" t="s">
        <v>582</v>
      </c>
      <c r="D41" s="20"/>
      <c r="G41" s="13">
        <v>102.7</v>
      </c>
      <c r="I41" s="3" t="s">
        <v>167</v>
      </c>
      <c r="K41" s="10"/>
      <c r="M41" s="8" t="b">
        <v>0</v>
      </c>
      <c r="N41" s="10">
        <v>45882</v>
      </c>
      <c r="P41" s="8" t="b">
        <v>0</v>
      </c>
      <c r="S41" s="8" t="b">
        <v>0</v>
      </c>
    </row>
    <row r="42" spans="1:19">
      <c r="A42" s="20"/>
      <c r="B42" s="20"/>
      <c r="C42" s="20" t="s">
        <v>583</v>
      </c>
      <c r="D42" s="20"/>
      <c r="I42" s="3" t="s">
        <v>584</v>
      </c>
      <c r="K42" s="10"/>
      <c r="M42" s="8" t="b">
        <v>0</v>
      </c>
      <c r="N42" s="10">
        <v>45874</v>
      </c>
      <c r="P42" s="8" t="b">
        <v>1</v>
      </c>
      <c r="S42" s="8" t="b">
        <v>0</v>
      </c>
    </row>
    <row r="43" spans="1:19">
      <c r="A43" s="20"/>
      <c r="B43" s="20"/>
      <c r="C43" s="20"/>
      <c r="D43" s="20"/>
      <c r="K43" s="10"/>
      <c r="M43" s="1"/>
      <c r="P43" s="1"/>
      <c r="S43" s="1"/>
    </row>
    <row r="44" spans="1:19">
      <c r="A44" s="20"/>
      <c r="B44" s="20"/>
      <c r="C44" s="20" t="s">
        <v>585</v>
      </c>
      <c r="D44" s="20"/>
      <c r="E44" s="13">
        <v>200</v>
      </c>
      <c r="G44" s="13">
        <v>257.60000000000002</v>
      </c>
      <c r="I44" s="3" t="s">
        <v>12</v>
      </c>
      <c r="K44" s="10"/>
      <c r="M44" s="1"/>
      <c r="N44" s="10">
        <v>45881</v>
      </c>
      <c r="P44" s="1" t="s">
        <v>586</v>
      </c>
      <c r="S44" s="1"/>
    </row>
    <row r="45" spans="1:19">
      <c r="A45" s="20"/>
      <c r="B45" s="20"/>
      <c r="C45" s="20" t="s">
        <v>587</v>
      </c>
      <c r="D45" s="20"/>
      <c r="E45" s="13">
        <v>250</v>
      </c>
      <c r="G45" s="13">
        <v>149.38999999999999</v>
      </c>
      <c r="I45" s="3" t="s">
        <v>12</v>
      </c>
      <c r="K45" s="10"/>
      <c r="M45" s="1"/>
      <c r="N45" s="10">
        <v>45881</v>
      </c>
      <c r="P45" s="1"/>
      <c r="S45" s="1"/>
    </row>
    <row r="46" spans="1:19">
      <c r="A46" s="20" t="s">
        <v>377</v>
      </c>
      <c r="B46" s="20"/>
      <c r="C46" s="20"/>
      <c r="D46" s="20"/>
      <c r="F46" s="26"/>
      <c r="G46" s="26"/>
      <c r="H46" s="22"/>
      <c r="I46" s="22"/>
      <c r="M46" s="18"/>
      <c r="P46" s="18"/>
      <c r="S46" s="18"/>
    </row>
    <row r="47" spans="1:19">
      <c r="A47" s="20"/>
      <c r="B47" s="20"/>
      <c r="C47" s="20" t="s">
        <v>588</v>
      </c>
      <c r="D47" s="20"/>
      <c r="E47" s="13">
        <v>400</v>
      </c>
      <c r="G47" s="13">
        <v>100.26</v>
      </c>
      <c r="I47" s="3" t="s">
        <v>6</v>
      </c>
      <c r="M47" s="18"/>
      <c r="N47" s="10">
        <v>45887</v>
      </c>
      <c r="P47" s="18"/>
      <c r="S47" s="18"/>
    </row>
    <row r="48" spans="1:19">
      <c r="A48" s="20" t="s">
        <v>498</v>
      </c>
      <c r="B48" s="20"/>
      <c r="C48" s="20"/>
      <c r="D48" s="20"/>
      <c r="K48" s="10"/>
      <c r="M48" s="1"/>
      <c r="P48" s="1"/>
      <c r="S48" s="1"/>
    </row>
    <row r="49" spans="1:19">
      <c r="A49" s="20"/>
      <c r="B49" s="20"/>
      <c r="C49" s="20" t="s">
        <v>589</v>
      </c>
      <c r="D49" s="20"/>
      <c r="E49" s="13">
        <v>250</v>
      </c>
      <c r="G49" s="13">
        <v>377.89</v>
      </c>
      <c r="I49" s="3" t="s">
        <v>490</v>
      </c>
      <c r="M49" s="1"/>
      <c r="P49" s="1"/>
      <c r="S49" s="1"/>
    </row>
    <row r="50" spans="1:19" s="5" customFormat="1">
      <c r="B50" s="4"/>
      <c r="E50" s="11"/>
      <c r="F50" s="11"/>
      <c r="G50" s="11"/>
      <c r="K50" s="3"/>
      <c r="M50" s="1"/>
      <c r="P50" s="1"/>
      <c r="S50" s="1"/>
    </row>
    <row r="51" spans="1:19" s="5" customFormat="1">
      <c r="B51" s="4"/>
      <c r="E51" s="11"/>
      <c r="F51" s="11"/>
      <c r="G51" s="11"/>
      <c r="K51" s="3"/>
      <c r="M51" s="1"/>
      <c r="P51" s="1"/>
      <c r="S51" s="1"/>
    </row>
    <row r="52" spans="1:19" s="5" customFormat="1">
      <c r="B52" s="1"/>
      <c r="C52" s="3"/>
      <c r="D52" s="3"/>
      <c r="E52" s="11"/>
      <c r="F52" s="11"/>
      <c r="G52" s="11"/>
      <c r="K52" s="3"/>
      <c r="M52" s="1"/>
      <c r="P52" s="1"/>
      <c r="S52" s="1"/>
    </row>
    <row r="53" spans="1:19" s="5" customFormat="1">
      <c r="B53" s="1"/>
      <c r="C53" s="3"/>
      <c r="D53" s="3"/>
      <c r="E53" s="11">
        <f>SUM(E4:E52)</f>
        <v>7300</v>
      </c>
      <c r="F53" s="11"/>
      <c r="G53" s="11">
        <f>SUM(G4:G52)</f>
        <v>9248.08</v>
      </c>
      <c r="K53" s="3"/>
      <c r="M53" s="1"/>
      <c r="P53" s="1"/>
      <c r="S53" s="1"/>
    </row>
    <row r="54" spans="1:19" s="5" customFormat="1">
      <c r="B54" s="1"/>
      <c r="C54" s="3"/>
      <c r="D54" s="3"/>
      <c r="E54" s="11"/>
      <c r="F54" s="11"/>
      <c r="G54" s="11"/>
      <c r="K54" s="3"/>
      <c r="M54" s="1"/>
      <c r="P54" s="1"/>
      <c r="S54" s="1"/>
    </row>
    <row r="55" spans="1:19" s="5" customFormat="1">
      <c r="B55" s="1"/>
      <c r="C55" s="3"/>
      <c r="D55" s="3"/>
      <c r="E55" s="11"/>
      <c r="F55" s="11"/>
      <c r="G55" s="11"/>
      <c r="K55" s="3"/>
      <c r="M55" s="1"/>
      <c r="P55" s="1"/>
      <c r="S55" s="1"/>
    </row>
    <row r="56" spans="1:19">
      <c r="B56" s="1"/>
      <c r="M56" s="1"/>
      <c r="P56" s="1"/>
      <c r="S56" s="1"/>
    </row>
    <row r="57" spans="1:19">
      <c r="B57" s="1"/>
      <c r="M57" s="1"/>
      <c r="P57" s="1"/>
      <c r="S57" s="1"/>
    </row>
    <row r="58" spans="1:19">
      <c r="B58" s="1"/>
      <c r="M58" s="1"/>
      <c r="P58" s="1"/>
      <c r="S58" s="1"/>
    </row>
    <row r="59" spans="1:19">
      <c r="B59" s="1"/>
      <c r="M59" s="1"/>
      <c r="P59" s="1"/>
      <c r="S59" s="1"/>
    </row>
    <row r="60" spans="1:19">
      <c r="B60" s="1"/>
      <c r="M60" s="1"/>
      <c r="P60" s="1"/>
      <c r="S60" s="1"/>
    </row>
    <row r="61" spans="1:19">
      <c r="B61" s="18"/>
      <c r="M61" s="1"/>
      <c r="P61" s="1"/>
      <c r="S61" s="1"/>
    </row>
    <row r="62" spans="1:19">
      <c r="B62" s="1"/>
      <c r="K62" s="5"/>
      <c r="M62" s="1"/>
      <c r="P62" s="1"/>
      <c r="S62" s="1"/>
    </row>
    <row r="63" spans="1:19">
      <c r="B63" s="1"/>
      <c r="K63" s="5"/>
      <c r="M63" s="1"/>
      <c r="P63" s="1"/>
      <c r="S63" s="1"/>
    </row>
    <row r="64" spans="1:19">
      <c r="B64" s="1"/>
      <c r="K64" s="5"/>
      <c r="M64" s="1"/>
      <c r="P64" s="1"/>
      <c r="S64" s="1"/>
    </row>
    <row r="65" spans="2:19">
      <c r="B65" s="1"/>
      <c r="K65" s="5"/>
      <c r="M65" s="1"/>
      <c r="P65" s="1"/>
      <c r="S65" s="1"/>
    </row>
    <row r="66" spans="2:19">
      <c r="B66" s="1"/>
      <c r="M66" s="1"/>
      <c r="P66" s="1"/>
      <c r="S66" s="1"/>
    </row>
    <row r="67" spans="2:19">
      <c r="B67" s="1"/>
      <c r="M67" s="2"/>
      <c r="P67" s="2"/>
      <c r="S67" s="2"/>
    </row>
    <row r="68" spans="2:19" s="5" customFormat="1">
      <c r="B68" s="4"/>
      <c r="E68" s="11"/>
      <c r="F68" s="11"/>
      <c r="G68" s="11"/>
      <c r="M68" s="14"/>
      <c r="P68" s="14"/>
      <c r="S68" s="14"/>
    </row>
    <row r="69" spans="2:19" s="5" customFormat="1">
      <c r="B69" s="4"/>
      <c r="E69" s="11"/>
      <c r="F69" s="11"/>
      <c r="G69" s="11"/>
      <c r="K69" s="3"/>
      <c r="M69" s="2"/>
      <c r="P69" s="2"/>
      <c r="S69" s="2"/>
    </row>
    <row r="70" spans="2:19" s="5" customFormat="1">
      <c r="B70" s="1"/>
      <c r="C70" s="3"/>
      <c r="D70" s="3"/>
      <c r="E70" s="11"/>
      <c r="F70" s="11"/>
      <c r="G70" s="11"/>
      <c r="M70" s="4"/>
      <c r="P70" s="4"/>
      <c r="S70" s="4"/>
    </row>
    <row r="71" spans="2:19" s="5" customFormat="1">
      <c r="B71" s="1"/>
      <c r="C71" s="3"/>
      <c r="D71" s="3"/>
      <c r="E71" s="11"/>
      <c r="F71" s="11"/>
      <c r="G71" s="11"/>
      <c r="M71" s="4"/>
      <c r="P71" s="4"/>
      <c r="S71" s="4"/>
    </row>
    <row r="72" spans="2:19">
      <c r="B72" s="1"/>
      <c r="K72" s="5"/>
      <c r="M72" s="4"/>
      <c r="P72" s="4"/>
      <c r="S72" s="4"/>
    </row>
    <row r="73" spans="2:19">
      <c r="B73" s="1"/>
      <c r="K73" s="5"/>
      <c r="M73" s="1"/>
      <c r="P73" s="1"/>
      <c r="S73" s="1"/>
    </row>
    <row r="74" spans="2:19">
      <c r="B74" s="1"/>
      <c r="K74" s="5"/>
      <c r="M74" s="1"/>
      <c r="P74" s="1"/>
      <c r="S74" s="1"/>
    </row>
    <row r="75" spans="2:19">
      <c r="B75" s="1"/>
      <c r="M75" s="1"/>
      <c r="P75" s="1"/>
      <c r="S75" s="1"/>
    </row>
    <row r="76" spans="2:19">
      <c r="B76" s="1"/>
      <c r="M76" s="1"/>
      <c r="P76" s="1"/>
      <c r="S76" s="1"/>
    </row>
    <row r="77" spans="2:19">
      <c r="B77" s="1"/>
      <c r="M77" s="1"/>
      <c r="P77" s="1"/>
      <c r="S77" s="1"/>
    </row>
    <row r="78" spans="2:19">
      <c r="B78" s="1"/>
      <c r="M78" s="1"/>
      <c r="P78" s="1"/>
      <c r="S78" s="1"/>
    </row>
    <row r="79" spans="2:19">
      <c r="B79" s="1"/>
      <c r="M79" s="1"/>
      <c r="P79" s="1"/>
      <c r="S79" s="1"/>
    </row>
    <row r="80" spans="2:19">
      <c r="B80" s="1"/>
      <c r="M80" s="1"/>
      <c r="P80" s="1"/>
      <c r="S80" s="1"/>
    </row>
    <row r="81" spans="2:19">
      <c r="B81" s="1"/>
      <c r="M81" s="1"/>
      <c r="P81" s="1"/>
      <c r="S81" s="1"/>
    </row>
    <row r="82" spans="2:19">
      <c r="B82" s="1"/>
      <c r="M82" s="1"/>
      <c r="P82" s="1"/>
      <c r="S82" s="1"/>
    </row>
    <row r="83" spans="2:19">
      <c r="M83" s="1"/>
      <c r="P83" s="1"/>
      <c r="S83" s="1"/>
    </row>
    <row r="84" spans="2:19">
      <c r="M84" s="1"/>
      <c r="P84" s="1"/>
      <c r="S84" s="1"/>
    </row>
    <row r="85" spans="2:19">
      <c r="M85" s="1"/>
      <c r="P85" s="1"/>
      <c r="S85" s="1"/>
    </row>
  </sheetData>
  <pageMargins left="0.7" right="0.7" top="0.75" bottom="0.75" header="0.3" footer="0.3"/>
  <pageSetup orientation="portrait" horizontalDpi="203" verticalDpi="203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4CAB-069B-4F64-AFC0-21CDCF5FFF7B}">
  <dimension ref="A1:AA140"/>
  <sheetViews>
    <sheetView workbookViewId="0">
      <pane ySplit="2" topLeftCell="A15" activePane="bottomLeft" state="frozen"/>
      <selection pane="bottomLeft" activeCell="H31" sqref="H31"/>
      <selection activeCell="C1" sqref="C1"/>
    </sheetView>
  </sheetViews>
  <sheetFormatPr defaultColWidth="8.85546875" defaultRowHeight="15.95"/>
  <cols>
    <col min="1" max="1" width="8.85546875" style="3"/>
    <col min="2" max="2" width="12.7109375" style="3" customWidth="1"/>
    <col min="3" max="3" width="8.85546875" style="3"/>
    <col min="4" max="4" width="27" style="3" customWidth="1"/>
    <col min="5" max="5" width="2.7109375" style="3" customWidth="1"/>
    <col min="6" max="6" width="18.140625" style="13" customWidth="1"/>
    <col min="7" max="7" width="1.85546875" style="13" customWidth="1"/>
    <col min="8" max="8" width="20" style="13" customWidth="1"/>
    <col min="9" max="9" width="2.7109375" style="3" customWidth="1"/>
    <col min="10" max="10" width="12.5703125" style="3" customWidth="1"/>
    <col min="11" max="11" width="2.42578125" style="3" customWidth="1"/>
    <col min="12" max="12" width="13.7109375" style="3" customWidth="1"/>
    <col min="13" max="13" width="2.42578125" style="3" customWidth="1"/>
    <col min="14" max="14" width="8.85546875" style="3"/>
    <col min="15" max="15" width="13.7109375" style="3" customWidth="1"/>
    <col min="16" max="16" width="2.7109375" style="3" customWidth="1"/>
    <col min="17" max="17" width="8.85546875" style="3"/>
    <col min="18" max="18" width="13.7109375" style="3" customWidth="1"/>
    <col min="19" max="19" width="2.7109375" style="3" customWidth="1"/>
    <col min="20" max="20" width="8.85546875" style="3"/>
    <col min="21" max="21" width="11.42578125" style="3" customWidth="1"/>
    <col min="22" max="22" width="2.140625" style="3" customWidth="1"/>
    <col min="23" max="23" width="8.85546875" style="3"/>
    <col min="24" max="24" width="11.42578125" style="3" customWidth="1"/>
    <col min="25" max="25" width="32.5703125" style="3" customWidth="1"/>
    <col min="26" max="26" width="21.42578125" style="3" customWidth="1"/>
    <col min="27" max="16384" width="8.85546875" style="3"/>
  </cols>
  <sheetData>
    <row r="1" spans="2:27" s="5" customFormat="1">
      <c r="B1" s="4" t="s">
        <v>560</v>
      </c>
      <c r="F1" s="11"/>
      <c r="G1" s="11"/>
      <c r="H1" s="11"/>
      <c r="N1" s="4"/>
      <c r="Q1" s="4"/>
      <c r="T1" s="4"/>
      <c r="W1" s="4"/>
    </row>
    <row r="2" spans="2:27" s="5" customFormat="1" ht="47.65">
      <c r="C2" s="4"/>
      <c r="D2" s="5" t="s">
        <v>590</v>
      </c>
      <c r="F2" s="12" t="s">
        <v>67</v>
      </c>
      <c r="G2" s="12"/>
      <c r="H2" s="12" t="s">
        <v>68</v>
      </c>
      <c r="I2" s="6"/>
      <c r="J2" s="6" t="s">
        <v>5</v>
      </c>
      <c r="K2" s="6"/>
      <c r="L2" s="7" t="s">
        <v>591</v>
      </c>
      <c r="M2" s="6"/>
      <c r="N2" s="17"/>
      <c r="O2" s="7" t="s">
        <v>193</v>
      </c>
      <c r="Q2" s="17"/>
      <c r="R2" s="7" t="s">
        <v>69</v>
      </c>
      <c r="T2" s="17"/>
      <c r="U2" s="7" t="s">
        <v>70</v>
      </c>
      <c r="W2" s="17"/>
      <c r="X2" s="7" t="s">
        <v>71</v>
      </c>
      <c r="Y2" s="6" t="s">
        <v>72</v>
      </c>
      <c r="Z2" s="5" t="s">
        <v>592</v>
      </c>
      <c r="AA2" s="5" t="s">
        <v>593</v>
      </c>
    </row>
    <row r="3" spans="2:27" s="5" customFormat="1">
      <c r="B3" s="4" t="s">
        <v>73</v>
      </c>
      <c r="F3" s="11"/>
      <c r="G3" s="11"/>
      <c r="H3" s="11"/>
    </row>
    <row r="4" spans="2:27">
      <c r="C4" s="1"/>
      <c r="N4" s="1"/>
      <c r="Q4" s="1"/>
      <c r="T4" s="1"/>
      <c r="W4" s="1"/>
    </row>
    <row r="5" spans="2:27">
      <c r="B5" s="20"/>
      <c r="C5" s="20"/>
      <c r="D5" s="20" t="s">
        <v>594</v>
      </c>
      <c r="E5" s="20"/>
      <c r="N5" s="1"/>
      <c r="Q5" s="1"/>
      <c r="T5" s="1"/>
      <c r="W5" s="1"/>
    </row>
    <row r="6" spans="2:27">
      <c r="B6" s="20"/>
      <c r="C6" s="20"/>
      <c r="D6" s="20" t="s">
        <v>562</v>
      </c>
      <c r="E6" s="20"/>
      <c r="N6" s="8" t="b">
        <v>0</v>
      </c>
      <c r="Q6" s="8" t="b">
        <v>0</v>
      </c>
      <c r="T6" s="8" t="b">
        <v>0</v>
      </c>
      <c r="W6" s="8" t="b">
        <v>0</v>
      </c>
    </row>
    <row r="7" spans="2:27">
      <c r="B7" s="20"/>
      <c r="C7" s="20"/>
      <c r="D7" s="20"/>
      <c r="E7" s="20"/>
      <c r="N7" s="8" t="b">
        <v>0</v>
      </c>
      <c r="O7" s="10"/>
      <c r="Q7" s="8" t="b">
        <v>0</v>
      </c>
      <c r="R7" s="10"/>
      <c r="T7" s="8" t="b">
        <v>0</v>
      </c>
      <c r="W7" s="8" t="b">
        <v>0</v>
      </c>
    </row>
    <row r="8" spans="2:27">
      <c r="B8" s="20"/>
      <c r="C8" s="20"/>
      <c r="D8" s="20" t="s">
        <v>595</v>
      </c>
      <c r="E8" s="20"/>
      <c r="F8" s="13">
        <f>38000-F11-F56-F98</f>
        <v>22600</v>
      </c>
      <c r="N8" s="8" t="b">
        <v>0</v>
      </c>
      <c r="Q8" s="8" t="b">
        <v>0</v>
      </c>
      <c r="T8" s="8" t="b">
        <v>0</v>
      </c>
      <c r="W8" s="8" t="b">
        <v>0</v>
      </c>
    </row>
    <row r="9" spans="2:27">
      <c r="B9" s="20"/>
      <c r="C9" s="20"/>
      <c r="D9" s="20"/>
      <c r="E9" s="20"/>
      <c r="N9" s="8" t="b">
        <v>0</v>
      </c>
      <c r="Q9" s="8" t="b">
        <v>0</v>
      </c>
      <c r="T9" s="8" t="b">
        <v>0</v>
      </c>
      <c r="W9" s="8" t="b">
        <v>0</v>
      </c>
    </row>
    <row r="10" spans="2:27">
      <c r="B10" s="20"/>
      <c r="C10" s="20"/>
      <c r="D10" s="20"/>
      <c r="E10" s="20"/>
      <c r="N10" s="8" t="b">
        <v>0</v>
      </c>
      <c r="Q10" s="8" t="b">
        <v>0</v>
      </c>
      <c r="R10" s="10"/>
      <c r="T10" s="8" t="b">
        <v>0</v>
      </c>
      <c r="W10" s="8" t="b">
        <v>0</v>
      </c>
    </row>
    <row r="11" spans="2:27">
      <c r="B11" s="20" t="s">
        <v>596</v>
      </c>
      <c r="C11" s="20"/>
      <c r="D11" s="20" t="s">
        <v>597</v>
      </c>
      <c r="E11" s="20"/>
      <c r="F11" s="13">
        <v>3500</v>
      </c>
      <c r="H11" s="13">
        <v>3749.54</v>
      </c>
      <c r="J11" s="3" t="s">
        <v>598</v>
      </c>
      <c r="N11" s="8" t="b">
        <v>0</v>
      </c>
      <c r="O11" s="10"/>
      <c r="Q11" s="8" t="b">
        <v>0</v>
      </c>
      <c r="R11" s="10"/>
      <c r="T11" s="8" t="b">
        <v>0</v>
      </c>
      <c r="U11" s="10"/>
      <c r="W11" s="8" t="b">
        <v>0</v>
      </c>
    </row>
    <row r="12" spans="2:27">
      <c r="B12" s="20"/>
      <c r="C12" s="20"/>
      <c r="D12" s="20" t="s">
        <v>173</v>
      </c>
      <c r="E12" s="20"/>
      <c r="H12" s="13">
        <v>1764</v>
      </c>
      <c r="J12" s="3" t="s">
        <v>599</v>
      </c>
      <c r="N12" s="8" t="b">
        <v>0</v>
      </c>
      <c r="O12" s="10"/>
      <c r="Q12" s="8" t="b">
        <v>0</v>
      </c>
      <c r="R12" s="10">
        <v>45875</v>
      </c>
      <c r="T12" s="8" t="b">
        <v>0</v>
      </c>
      <c r="U12" s="10"/>
      <c r="W12" s="8" t="b">
        <v>0</v>
      </c>
    </row>
    <row r="13" spans="2:27">
      <c r="B13" s="20"/>
      <c r="C13" s="20"/>
      <c r="D13" s="20" t="s">
        <v>600</v>
      </c>
      <c r="E13" s="20"/>
      <c r="N13" s="8" t="b">
        <v>0</v>
      </c>
      <c r="O13" s="10"/>
      <c r="Q13" s="8" t="b">
        <v>0</v>
      </c>
      <c r="R13" s="10"/>
      <c r="T13" s="8" t="b">
        <v>0</v>
      </c>
      <c r="U13" s="10"/>
      <c r="W13" s="8" t="b">
        <v>0</v>
      </c>
    </row>
    <row r="14" spans="2:27">
      <c r="B14" s="20"/>
      <c r="C14" s="20"/>
      <c r="D14" s="20" t="s">
        <v>601</v>
      </c>
      <c r="E14" s="20"/>
      <c r="H14" s="13">
        <v>7195.07</v>
      </c>
      <c r="J14" s="3" t="s">
        <v>6</v>
      </c>
      <c r="N14" s="8" t="b">
        <v>0</v>
      </c>
      <c r="O14" s="10"/>
      <c r="Q14" s="8" t="b">
        <v>0</v>
      </c>
      <c r="R14" s="10">
        <v>45867</v>
      </c>
      <c r="T14" s="8" t="b">
        <v>0</v>
      </c>
      <c r="U14" s="10"/>
      <c r="W14" s="8" t="b">
        <v>0</v>
      </c>
    </row>
    <row r="15" spans="2:27">
      <c r="B15" s="20"/>
      <c r="C15" s="20"/>
      <c r="D15" s="20" t="s">
        <v>602</v>
      </c>
      <c r="E15" s="20"/>
      <c r="J15" s="3" t="s">
        <v>6</v>
      </c>
      <c r="N15" s="8" t="b">
        <v>0</v>
      </c>
      <c r="O15" s="10"/>
      <c r="Q15" s="8" t="b">
        <v>0</v>
      </c>
      <c r="R15" s="10">
        <v>45867</v>
      </c>
      <c r="T15" s="8" t="b">
        <v>0</v>
      </c>
      <c r="U15" s="10"/>
      <c r="W15" s="8" t="b">
        <v>0</v>
      </c>
    </row>
    <row r="16" spans="2:27" ht="14.45" customHeight="1">
      <c r="B16" s="20"/>
      <c r="C16" s="20"/>
      <c r="D16" s="20" t="s">
        <v>603</v>
      </c>
      <c r="E16" s="20"/>
      <c r="J16" s="3" t="s">
        <v>6</v>
      </c>
      <c r="N16" s="8" t="b">
        <v>0</v>
      </c>
      <c r="O16" s="10"/>
      <c r="Q16" s="8" t="b">
        <v>0</v>
      </c>
      <c r="R16" s="10">
        <v>45867</v>
      </c>
      <c r="T16" s="8" t="b">
        <v>0</v>
      </c>
      <c r="U16" s="10"/>
      <c r="W16" s="8" t="b">
        <v>0</v>
      </c>
    </row>
    <row r="17" spans="2:23" ht="14.45" customHeight="1">
      <c r="B17" s="20"/>
      <c r="C17" s="20"/>
      <c r="D17" s="20"/>
      <c r="E17" s="20"/>
      <c r="N17" s="8" t="b">
        <v>0</v>
      </c>
      <c r="O17" s="10"/>
      <c r="Q17" s="8" t="b">
        <v>0</v>
      </c>
      <c r="R17" s="10"/>
      <c r="T17" s="8" t="b">
        <v>0</v>
      </c>
      <c r="U17" s="10"/>
      <c r="W17" s="8" t="b">
        <v>0</v>
      </c>
    </row>
    <row r="18" spans="2:23">
      <c r="B18" s="20" t="s">
        <v>445</v>
      </c>
      <c r="C18" s="20"/>
      <c r="D18" s="20" t="s">
        <v>604</v>
      </c>
      <c r="E18" s="20"/>
      <c r="J18" s="3" t="s">
        <v>6</v>
      </c>
      <c r="L18" s="10"/>
      <c r="N18" s="8" t="b">
        <v>0</v>
      </c>
      <c r="O18" s="10"/>
      <c r="Q18" s="8" t="b">
        <v>0</v>
      </c>
      <c r="R18" s="10">
        <v>45867</v>
      </c>
      <c r="T18" s="8" t="b">
        <v>0</v>
      </c>
      <c r="U18" s="10"/>
      <c r="W18" s="8" t="b">
        <v>0</v>
      </c>
    </row>
    <row r="19" spans="2:23">
      <c r="B19" s="20"/>
      <c r="C19" s="20"/>
      <c r="D19" s="20" t="s">
        <v>605</v>
      </c>
      <c r="E19" s="20"/>
      <c r="J19" s="3" t="s">
        <v>6</v>
      </c>
      <c r="L19" s="10"/>
      <c r="N19" s="8" t="b">
        <v>0</v>
      </c>
      <c r="O19" s="10"/>
      <c r="Q19" s="8" t="b">
        <v>0</v>
      </c>
      <c r="R19" s="10">
        <v>45867</v>
      </c>
      <c r="T19" s="8" t="b">
        <v>0</v>
      </c>
      <c r="U19" s="10"/>
      <c r="W19" s="8" t="b">
        <v>0</v>
      </c>
    </row>
    <row r="20" spans="2:23">
      <c r="B20" s="20"/>
      <c r="C20" s="20"/>
      <c r="D20" s="20" t="s">
        <v>606</v>
      </c>
      <c r="E20" s="20"/>
      <c r="J20" s="3" t="s">
        <v>6</v>
      </c>
      <c r="L20" s="10"/>
      <c r="N20" s="8" t="b">
        <v>0</v>
      </c>
      <c r="O20" s="10"/>
      <c r="Q20" s="8" t="b">
        <v>0</v>
      </c>
      <c r="R20" s="10">
        <v>45867</v>
      </c>
      <c r="T20" s="8" t="b">
        <v>0</v>
      </c>
      <c r="U20" s="10"/>
      <c r="W20" s="8" t="b">
        <v>0</v>
      </c>
    </row>
    <row r="21" spans="2:23">
      <c r="B21" s="20"/>
      <c r="C21" s="20"/>
      <c r="D21" s="20" t="s">
        <v>607</v>
      </c>
      <c r="E21" s="20"/>
      <c r="J21" s="3" t="s">
        <v>6</v>
      </c>
      <c r="L21" s="10"/>
      <c r="N21" s="8" t="b">
        <v>0</v>
      </c>
      <c r="O21" s="10"/>
      <c r="Q21" s="8" t="b">
        <v>0</v>
      </c>
      <c r="R21" s="10">
        <v>45867</v>
      </c>
      <c r="T21" s="8" t="b">
        <v>0</v>
      </c>
      <c r="U21" s="10"/>
      <c r="W21" s="8" t="b">
        <v>0</v>
      </c>
    </row>
    <row r="22" spans="2:23">
      <c r="B22" s="20"/>
      <c r="C22" s="20"/>
      <c r="D22" s="20" t="s">
        <v>608</v>
      </c>
      <c r="E22" s="20"/>
      <c r="J22" s="3" t="s">
        <v>6</v>
      </c>
      <c r="L22" s="10"/>
      <c r="N22" s="8" t="b">
        <v>0</v>
      </c>
      <c r="O22" s="10"/>
      <c r="Q22" s="8" t="b">
        <v>0</v>
      </c>
      <c r="R22" s="10">
        <v>45867</v>
      </c>
      <c r="T22" s="8" t="b">
        <v>0</v>
      </c>
      <c r="U22" s="10"/>
      <c r="W22" s="8" t="b">
        <v>0</v>
      </c>
    </row>
    <row r="23" spans="2:23">
      <c r="B23" s="20"/>
      <c r="C23" s="20"/>
      <c r="D23" s="20" t="s">
        <v>28</v>
      </c>
      <c r="E23" s="20"/>
      <c r="J23" s="3" t="s">
        <v>6</v>
      </c>
      <c r="L23" s="10"/>
      <c r="N23" s="8" t="b">
        <v>0</v>
      </c>
      <c r="O23" s="10"/>
      <c r="Q23" s="8" t="b">
        <v>0</v>
      </c>
      <c r="R23" s="10">
        <v>45867</v>
      </c>
      <c r="T23" s="8" t="b">
        <v>0</v>
      </c>
      <c r="U23" s="10"/>
      <c r="W23" s="8" t="b">
        <v>0</v>
      </c>
    </row>
    <row r="24" spans="2:23">
      <c r="B24" s="20"/>
      <c r="C24" s="20"/>
      <c r="D24" s="20" t="s">
        <v>609</v>
      </c>
      <c r="E24" s="20"/>
      <c r="J24" s="3" t="s">
        <v>6</v>
      </c>
      <c r="L24" s="10"/>
      <c r="N24" s="8" t="b">
        <v>0</v>
      </c>
      <c r="O24" s="10"/>
      <c r="Q24" s="8" t="b">
        <v>0</v>
      </c>
      <c r="R24" s="10">
        <v>45867</v>
      </c>
      <c r="T24" s="8" t="b">
        <v>0</v>
      </c>
      <c r="U24" s="10"/>
      <c r="W24" s="8" t="b">
        <v>0</v>
      </c>
    </row>
    <row r="25" spans="2:23">
      <c r="B25" s="20"/>
      <c r="C25" s="20"/>
      <c r="D25" s="20" t="s">
        <v>610</v>
      </c>
      <c r="E25" s="20"/>
      <c r="H25" s="13">
        <f>2673.02+957</f>
        <v>3630.02</v>
      </c>
      <c r="J25" s="3" t="s">
        <v>611</v>
      </c>
      <c r="L25" s="10"/>
      <c r="N25" s="8" t="b">
        <v>0</v>
      </c>
      <c r="O25" s="10"/>
      <c r="Q25" s="8" t="b">
        <v>0</v>
      </c>
      <c r="R25" s="35"/>
      <c r="T25" s="8" t="b">
        <v>0</v>
      </c>
      <c r="U25" s="10"/>
      <c r="W25" s="8" t="b">
        <v>0</v>
      </c>
    </row>
    <row r="26" spans="2:23">
      <c r="B26" s="20"/>
      <c r="C26" s="20"/>
      <c r="D26" s="20"/>
      <c r="E26" s="20"/>
      <c r="L26" s="10"/>
      <c r="N26" s="8" t="b">
        <v>0</v>
      </c>
      <c r="O26" s="10"/>
      <c r="Q26" s="8" t="b">
        <v>0</v>
      </c>
      <c r="R26" s="10"/>
      <c r="T26" s="8" t="b">
        <v>0</v>
      </c>
      <c r="U26" s="10"/>
      <c r="W26" s="8" t="b">
        <v>0</v>
      </c>
    </row>
    <row r="27" spans="2:23">
      <c r="B27" s="20" t="s">
        <v>612</v>
      </c>
      <c r="C27" s="20"/>
      <c r="D27" s="20" t="s">
        <v>613</v>
      </c>
      <c r="E27" s="20"/>
      <c r="L27" s="10"/>
      <c r="N27" s="8" t="b">
        <v>0</v>
      </c>
      <c r="O27" s="10"/>
      <c r="Q27" s="8" t="b">
        <v>0</v>
      </c>
      <c r="R27" s="10"/>
      <c r="T27" s="8" t="b">
        <v>0</v>
      </c>
      <c r="U27" s="10"/>
      <c r="W27" s="8" t="b">
        <v>0</v>
      </c>
    </row>
    <row r="28" spans="2:23" ht="18" customHeight="1">
      <c r="B28" s="20"/>
      <c r="C28" s="20"/>
      <c r="D28" s="20" t="s">
        <v>614</v>
      </c>
      <c r="E28" s="20"/>
      <c r="L28" s="10"/>
      <c r="N28" s="8" t="b">
        <v>0</v>
      </c>
      <c r="O28" s="10"/>
      <c r="Q28" s="8" t="b">
        <v>0</v>
      </c>
      <c r="R28" s="10"/>
      <c r="T28" s="8" t="b">
        <v>0</v>
      </c>
      <c r="U28" s="10"/>
      <c r="W28" s="8" t="b">
        <v>0</v>
      </c>
    </row>
    <row r="29" spans="2:23">
      <c r="B29" s="20"/>
      <c r="C29" s="20"/>
      <c r="D29" s="20" t="s">
        <v>615</v>
      </c>
      <c r="E29" s="20"/>
      <c r="L29" s="10"/>
      <c r="N29" s="8" t="b">
        <v>0</v>
      </c>
      <c r="O29" s="10"/>
      <c r="Q29" s="8" t="b">
        <v>0</v>
      </c>
      <c r="R29" s="10"/>
      <c r="T29" s="8" t="b">
        <v>0</v>
      </c>
      <c r="U29" s="10"/>
      <c r="W29" s="8" t="b">
        <v>0</v>
      </c>
    </row>
    <row r="30" spans="2:23">
      <c r="B30" s="20"/>
      <c r="C30" s="20"/>
      <c r="D30" s="20" t="s">
        <v>616</v>
      </c>
      <c r="E30" s="20"/>
      <c r="L30" s="10"/>
      <c r="N30" s="8" t="b">
        <v>0</v>
      </c>
      <c r="O30" s="10"/>
      <c r="Q30" s="8" t="b">
        <v>0</v>
      </c>
      <c r="R30" s="10"/>
      <c r="T30" s="8" t="b">
        <v>0</v>
      </c>
      <c r="U30" s="10"/>
      <c r="W30" s="8" t="b">
        <v>0</v>
      </c>
    </row>
    <row r="31" spans="2:23">
      <c r="B31" s="20"/>
      <c r="C31" s="20"/>
      <c r="D31" s="20" t="s">
        <v>617</v>
      </c>
      <c r="E31" s="20"/>
      <c r="L31" s="10"/>
      <c r="N31" s="8" t="b">
        <v>0</v>
      </c>
      <c r="O31" s="10"/>
      <c r="Q31" s="8" t="b">
        <v>0</v>
      </c>
      <c r="R31" s="10"/>
      <c r="T31" s="8" t="b">
        <v>0</v>
      </c>
      <c r="U31" s="10"/>
      <c r="W31" s="8" t="b">
        <v>0</v>
      </c>
    </row>
    <row r="32" spans="2:23" ht="18" customHeight="1">
      <c r="B32" s="20"/>
      <c r="C32" s="20"/>
      <c r="D32" s="20"/>
      <c r="E32" s="20"/>
      <c r="L32" s="10"/>
      <c r="N32" s="1"/>
      <c r="O32" s="10"/>
      <c r="Q32" s="1"/>
      <c r="R32" s="10"/>
      <c r="T32" s="1"/>
      <c r="U32" s="10"/>
      <c r="W32" s="8" t="b">
        <v>0</v>
      </c>
    </row>
    <row r="33" spans="2:23" ht="18" customHeight="1">
      <c r="B33" s="20" t="s">
        <v>543</v>
      </c>
      <c r="C33" s="20"/>
      <c r="D33" s="20" t="s">
        <v>618</v>
      </c>
      <c r="E33" s="20"/>
      <c r="H33" s="33">
        <v>2044.74</v>
      </c>
      <c r="J33" s="3" t="s">
        <v>138</v>
      </c>
      <c r="L33" s="10"/>
      <c r="N33" s="8" t="b">
        <v>0</v>
      </c>
      <c r="O33" s="10">
        <v>45844</v>
      </c>
      <c r="Q33" s="8" t="b">
        <v>0</v>
      </c>
      <c r="R33" s="10"/>
      <c r="T33" s="8" t="b">
        <v>0</v>
      </c>
      <c r="U33" s="10"/>
      <c r="W33" s="8" t="b">
        <v>0</v>
      </c>
    </row>
    <row r="34" spans="2:23" ht="18" customHeight="1">
      <c r="B34" s="20"/>
      <c r="C34" s="20"/>
      <c r="D34" s="20" t="s">
        <v>619</v>
      </c>
      <c r="E34" s="20"/>
      <c r="J34" s="3" t="s">
        <v>138</v>
      </c>
      <c r="L34" s="10"/>
      <c r="N34" s="8" t="b">
        <v>0</v>
      </c>
      <c r="O34" s="10">
        <v>45844</v>
      </c>
      <c r="Q34" s="8" t="b">
        <v>0</v>
      </c>
      <c r="R34" s="10"/>
      <c r="T34" s="8" t="b">
        <v>0</v>
      </c>
      <c r="U34" s="10"/>
      <c r="W34" s="8" t="b">
        <v>0</v>
      </c>
    </row>
    <row r="35" spans="2:23" ht="18" customHeight="1">
      <c r="B35" s="20"/>
      <c r="C35" s="20"/>
      <c r="D35" s="20" t="s">
        <v>620</v>
      </c>
      <c r="E35" s="20"/>
      <c r="J35" s="3" t="s">
        <v>138</v>
      </c>
      <c r="L35" s="10"/>
      <c r="N35" s="8" t="b">
        <v>0</v>
      </c>
      <c r="O35" s="10">
        <v>45844</v>
      </c>
      <c r="Q35" s="8" t="b">
        <v>0</v>
      </c>
      <c r="R35" s="10"/>
      <c r="T35" s="8" t="b">
        <v>0</v>
      </c>
      <c r="U35" s="10"/>
      <c r="W35" s="8" t="b">
        <v>0</v>
      </c>
    </row>
    <row r="36" spans="2:23" ht="18" customHeight="1">
      <c r="B36" s="20"/>
      <c r="C36" s="20"/>
      <c r="D36" s="20" t="s">
        <v>621</v>
      </c>
      <c r="E36" s="20"/>
      <c r="J36" s="3" t="s">
        <v>138</v>
      </c>
      <c r="L36" s="10"/>
      <c r="N36" s="8" t="b">
        <v>0</v>
      </c>
      <c r="O36" s="10">
        <v>45844</v>
      </c>
      <c r="Q36" s="8" t="b">
        <v>0</v>
      </c>
      <c r="R36" s="10"/>
      <c r="T36" s="8" t="b">
        <v>0</v>
      </c>
      <c r="U36" s="10"/>
      <c r="W36" s="8" t="b">
        <v>0</v>
      </c>
    </row>
    <row r="37" spans="2:23" ht="18" customHeight="1">
      <c r="B37" s="20"/>
      <c r="C37" s="20"/>
      <c r="D37" s="20" t="s">
        <v>622</v>
      </c>
      <c r="E37" s="20"/>
      <c r="J37" s="3" t="s">
        <v>138</v>
      </c>
      <c r="L37" s="10"/>
      <c r="N37" s="8" t="b">
        <v>0</v>
      </c>
      <c r="O37" s="10">
        <v>45844</v>
      </c>
      <c r="Q37" s="8" t="b">
        <v>0</v>
      </c>
      <c r="R37" s="10"/>
      <c r="T37" s="8" t="b">
        <v>0</v>
      </c>
      <c r="U37" s="10"/>
      <c r="W37" s="8" t="b">
        <v>0</v>
      </c>
    </row>
    <row r="38" spans="2:23" ht="18" customHeight="1">
      <c r="B38" s="20"/>
      <c r="C38" s="20"/>
      <c r="D38" s="20" t="s">
        <v>623</v>
      </c>
      <c r="E38" s="20"/>
      <c r="H38" s="33">
        <v>185.58</v>
      </c>
      <c r="J38" s="3" t="s">
        <v>167</v>
      </c>
      <c r="L38" s="10"/>
      <c r="N38" s="8" t="b">
        <v>0</v>
      </c>
      <c r="O38" s="10">
        <v>45844</v>
      </c>
      <c r="Q38" s="8" t="b">
        <v>1</v>
      </c>
      <c r="R38" s="10">
        <v>45847</v>
      </c>
      <c r="T38" s="8" t="b">
        <v>1</v>
      </c>
      <c r="U38" s="10"/>
      <c r="W38" s="8" t="b">
        <v>0</v>
      </c>
    </row>
    <row r="39" spans="2:23" ht="18" customHeight="1">
      <c r="B39" s="20"/>
      <c r="C39" s="20"/>
      <c r="D39" s="20" t="s">
        <v>624</v>
      </c>
      <c r="E39" s="20"/>
      <c r="J39" s="3" t="s">
        <v>167</v>
      </c>
      <c r="L39" s="10"/>
      <c r="N39" s="8" t="b">
        <v>0</v>
      </c>
      <c r="O39" s="10">
        <v>45844</v>
      </c>
      <c r="Q39" s="8" t="b">
        <v>1</v>
      </c>
      <c r="R39" s="10">
        <v>45847</v>
      </c>
      <c r="T39" s="8" t="b">
        <v>1</v>
      </c>
      <c r="U39" s="10"/>
      <c r="W39" s="8" t="b">
        <v>0</v>
      </c>
    </row>
    <row r="40" spans="2:23" ht="18" customHeight="1">
      <c r="B40" s="20"/>
      <c r="C40" s="20"/>
      <c r="D40" s="20"/>
      <c r="E40" s="20"/>
      <c r="L40" s="10"/>
      <c r="N40" s="1"/>
      <c r="O40" s="10"/>
      <c r="Q40" s="1"/>
      <c r="R40" s="10"/>
      <c r="T40" s="1"/>
      <c r="U40" s="10"/>
      <c r="W40" s="8" t="b">
        <v>0</v>
      </c>
    </row>
    <row r="41" spans="2:23" ht="18" customHeight="1">
      <c r="B41" s="20" t="s">
        <v>411</v>
      </c>
      <c r="C41" s="20"/>
      <c r="D41" s="20" t="s">
        <v>625</v>
      </c>
      <c r="E41" s="20"/>
      <c r="H41" s="13">
        <v>655</v>
      </c>
      <c r="J41" s="3" t="s">
        <v>599</v>
      </c>
      <c r="L41" s="10"/>
      <c r="N41" s="8" t="b">
        <v>0</v>
      </c>
      <c r="O41" s="10"/>
      <c r="Q41" s="8" t="b">
        <v>0</v>
      </c>
      <c r="R41" s="10">
        <v>45875</v>
      </c>
      <c r="T41" s="8" t="s">
        <v>626</v>
      </c>
      <c r="U41" s="10"/>
      <c r="W41" s="8" t="b">
        <v>0</v>
      </c>
    </row>
    <row r="42" spans="2:23" ht="18" customHeight="1">
      <c r="B42" s="20"/>
      <c r="C42" s="20"/>
      <c r="D42" s="20" t="s">
        <v>627</v>
      </c>
      <c r="E42" s="20"/>
      <c r="L42" s="10"/>
      <c r="N42" s="8" t="b">
        <v>0</v>
      </c>
      <c r="O42" s="10"/>
      <c r="Q42" s="8" t="b">
        <v>0</v>
      </c>
      <c r="R42" s="10"/>
      <c r="T42" s="8" t="b">
        <v>0</v>
      </c>
      <c r="U42" s="10"/>
      <c r="W42" s="8" t="b">
        <v>0</v>
      </c>
    </row>
    <row r="43" spans="2:23" ht="18" customHeight="1">
      <c r="B43" s="20"/>
      <c r="C43" s="20"/>
      <c r="D43" s="20" t="s">
        <v>628</v>
      </c>
      <c r="E43" s="20"/>
      <c r="L43" s="10"/>
      <c r="N43" s="8" t="b">
        <v>0</v>
      </c>
      <c r="O43" s="10"/>
      <c r="Q43" s="8" t="b">
        <v>0</v>
      </c>
      <c r="R43" s="10"/>
      <c r="T43" s="8" t="b">
        <v>0</v>
      </c>
      <c r="U43" s="10"/>
      <c r="W43" s="8" t="b">
        <v>0</v>
      </c>
    </row>
    <row r="44" spans="2:23" ht="18" customHeight="1">
      <c r="B44" s="20"/>
      <c r="C44" s="20"/>
      <c r="D44" s="20" t="s">
        <v>629</v>
      </c>
      <c r="E44" s="20"/>
      <c r="L44" s="10"/>
      <c r="N44" s="8" t="b">
        <v>0</v>
      </c>
      <c r="O44" s="10"/>
      <c r="Q44" s="8" t="b">
        <v>0</v>
      </c>
      <c r="R44" s="10"/>
      <c r="T44" s="8" t="b">
        <v>0</v>
      </c>
      <c r="U44" s="10"/>
      <c r="W44" s="8" t="b">
        <v>0</v>
      </c>
    </row>
    <row r="45" spans="2:23" ht="18" customHeight="1">
      <c r="B45" s="20"/>
      <c r="C45" s="20"/>
      <c r="D45" s="20"/>
      <c r="E45" s="20"/>
      <c r="L45" s="10"/>
      <c r="N45" s="8" t="b">
        <v>0</v>
      </c>
      <c r="O45" s="10"/>
      <c r="Q45" s="8" t="b">
        <v>0</v>
      </c>
      <c r="R45" s="10"/>
      <c r="T45" s="8" t="b">
        <v>0</v>
      </c>
      <c r="U45" s="10"/>
      <c r="W45" s="8" t="b">
        <v>0</v>
      </c>
    </row>
    <row r="46" spans="2:23" ht="18" customHeight="1">
      <c r="B46" s="20"/>
      <c r="C46" s="20"/>
      <c r="D46" s="20"/>
      <c r="E46" s="20"/>
      <c r="L46" s="10"/>
      <c r="N46" s="1"/>
      <c r="O46" s="10"/>
      <c r="Q46" s="1"/>
      <c r="R46" s="10"/>
      <c r="T46" s="1"/>
      <c r="U46" s="10"/>
      <c r="W46" s="8" t="b">
        <v>0</v>
      </c>
    </row>
    <row r="47" spans="2:23" ht="18" customHeight="1">
      <c r="B47" s="20" t="s">
        <v>324</v>
      </c>
      <c r="C47" s="20"/>
      <c r="D47" s="20" t="s">
        <v>246</v>
      </c>
      <c r="E47" s="20"/>
      <c r="J47" s="3" t="s">
        <v>6</v>
      </c>
      <c r="L47" s="10"/>
      <c r="N47" s="8" t="b">
        <v>0</v>
      </c>
      <c r="O47" s="10"/>
      <c r="Q47" s="8" t="b">
        <v>0</v>
      </c>
      <c r="R47" s="10"/>
      <c r="T47" s="8" t="b">
        <v>0</v>
      </c>
      <c r="U47" s="10"/>
      <c r="W47" s="8" t="b">
        <v>0</v>
      </c>
    </row>
    <row r="48" spans="2:23" ht="18" customHeight="1">
      <c r="B48" s="20"/>
      <c r="C48" s="20"/>
      <c r="D48" s="20" t="s">
        <v>630</v>
      </c>
      <c r="E48" s="20"/>
      <c r="H48" s="13">
        <v>200.52</v>
      </c>
      <c r="J48" s="3" t="s">
        <v>7</v>
      </c>
      <c r="L48" s="10"/>
      <c r="N48" s="8" t="b">
        <v>0</v>
      </c>
      <c r="O48" s="10"/>
      <c r="Q48" s="8" t="b">
        <v>0</v>
      </c>
      <c r="R48" s="10">
        <v>45880</v>
      </c>
      <c r="T48" s="8" t="b">
        <v>0</v>
      </c>
      <c r="U48" s="10"/>
      <c r="W48" s="8" t="b">
        <v>0</v>
      </c>
    </row>
    <row r="49" spans="2:23" s="15" customFormat="1" ht="18" customHeight="1">
      <c r="B49" s="31"/>
      <c r="C49" s="31"/>
      <c r="D49" s="31" t="s">
        <v>631</v>
      </c>
      <c r="E49" s="31"/>
      <c r="F49" s="33"/>
      <c r="G49" s="33"/>
      <c r="H49" s="33"/>
      <c r="L49" s="35"/>
      <c r="N49" s="37" t="b">
        <v>0</v>
      </c>
      <c r="O49" s="35"/>
      <c r="Q49" s="37" t="b">
        <v>0</v>
      </c>
      <c r="R49" s="35"/>
      <c r="T49" s="37" t="b">
        <v>0</v>
      </c>
      <c r="U49" s="35"/>
      <c r="W49" s="37" t="b">
        <v>0</v>
      </c>
    </row>
    <row r="50" spans="2:23" ht="18" customHeight="1">
      <c r="B50" s="20"/>
      <c r="C50" s="20"/>
      <c r="D50" s="20"/>
      <c r="E50" s="20"/>
      <c r="L50" s="10"/>
      <c r="N50" s="8" t="b">
        <v>0</v>
      </c>
      <c r="O50" s="10"/>
      <c r="Q50" s="8" t="b">
        <v>0</v>
      </c>
      <c r="R50" s="10"/>
      <c r="T50" s="8" t="b">
        <v>0</v>
      </c>
      <c r="U50" s="10"/>
      <c r="W50" s="8" t="b">
        <v>0</v>
      </c>
    </row>
    <row r="51" spans="2:23" ht="18" customHeight="1">
      <c r="B51" s="20" t="s">
        <v>632</v>
      </c>
      <c r="C51" s="20"/>
      <c r="D51" s="20" t="s">
        <v>633</v>
      </c>
      <c r="E51" s="20"/>
      <c r="H51" s="13">
        <v>246.8</v>
      </c>
      <c r="J51" s="3" t="s">
        <v>12</v>
      </c>
      <c r="L51" s="10"/>
      <c r="N51" s="8" t="b">
        <v>0</v>
      </c>
      <c r="O51" s="10"/>
      <c r="Q51" s="8" t="b">
        <v>0</v>
      </c>
      <c r="R51" s="10"/>
      <c r="T51" s="8" t="b">
        <v>0</v>
      </c>
      <c r="U51" s="10"/>
      <c r="W51" s="8" t="b">
        <v>0</v>
      </c>
    </row>
    <row r="52" spans="2:23" ht="18" customHeight="1">
      <c r="B52" s="20"/>
      <c r="C52" s="20"/>
      <c r="D52" s="20" t="s">
        <v>634</v>
      </c>
      <c r="E52" s="20"/>
      <c r="J52" s="3" t="s">
        <v>89</v>
      </c>
      <c r="L52" s="10"/>
      <c r="N52" s="8" t="b">
        <v>0</v>
      </c>
      <c r="O52" s="10"/>
      <c r="Q52" s="8" t="b">
        <v>0</v>
      </c>
      <c r="R52" s="10"/>
      <c r="T52" s="8" t="b">
        <v>0</v>
      </c>
      <c r="U52" s="10"/>
      <c r="W52" s="8" t="b">
        <v>0</v>
      </c>
    </row>
    <row r="53" spans="2:23" ht="18" customHeight="1">
      <c r="B53" s="20"/>
      <c r="C53" s="20"/>
      <c r="D53" s="20"/>
      <c r="E53" s="20"/>
      <c r="L53" s="10"/>
      <c r="N53" s="8" t="b">
        <v>0</v>
      </c>
      <c r="O53" s="10"/>
      <c r="Q53" s="8" t="b">
        <v>0</v>
      </c>
      <c r="R53" s="10"/>
      <c r="T53" s="8" t="b">
        <v>0</v>
      </c>
      <c r="U53" s="10"/>
      <c r="W53" s="8" t="b">
        <v>0</v>
      </c>
    </row>
    <row r="54" spans="2:23" ht="18" customHeight="1">
      <c r="B54" s="20"/>
      <c r="C54" s="20"/>
      <c r="D54" s="20"/>
      <c r="E54" s="20"/>
      <c r="L54" s="10"/>
      <c r="N54" s="8" t="b">
        <v>0</v>
      </c>
      <c r="O54" s="10"/>
      <c r="Q54" s="8" t="b">
        <v>0</v>
      </c>
      <c r="R54" s="10"/>
      <c r="T54" s="8" t="b">
        <v>0</v>
      </c>
      <c r="U54" s="10"/>
      <c r="W54" s="8" t="b">
        <v>0</v>
      </c>
    </row>
    <row r="55" spans="2:23">
      <c r="B55" s="20"/>
      <c r="C55" s="20"/>
      <c r="D55" s="20"/>
      <c r="E55" s="20"/>
      <c r="L55" s="10"/>
      <c r="R55" s="10"/>
      <c r="T55" s="1"/>
      <c r="W55" s="1"/>
    </row>
    <row r="56" spans="2:23">
      <c r="B56" s="20" t="s">
        <v>635</v>
      </c>
      <c r="C56" s="20"/>
      <c r="D56" s="20" t="s">
        <v>636</v>
      </c>
      <c r="E56" s="20"/>
      <c r="F56" s="13">
        <v>950</v>
      </c>
      <c r="H56" s="13">
        <v>754.18</v>
      </c>
      <c r="J56" s="3" t="s">
        <v>598</v>
      </c>
      <c r="N56" s="8" t="b">
        <v>0</v>
      </c>
      <c r="O56" s="10"/>
      <c r="Q56" s="8" t="b">
        <v>0</v>
      </c>
      <c r="R56" s="10"/>
      <c r="T56" s="8" t="b">
        <v>0</v>
      </c>
      <c r="U56" s="10"/>
      <c r="W56" s="8" t="b">
        <v>0</v>
      </c>
    </row>
    <row r="57" spans="2:23" s="15" customFormat="1">
      <c r="B57" s="31"/>
      <c r="C57" s="31"/>
      <c r="D57" s="31" t="s">
        <v>600</v>
      </c>
      <c r="E57" s="31"/>
      <c r="F57" s="33"/>
      <c r="G57" s="33"/>
      <c r="H57" s="33"/>
      <c r="N57" s="37" t="b">
        <v>0</v>
      </c>
      <c r="O57" s="35"/>
      <c r="Q57" s="37" t="b">
        <v>0</v>
      </c>
      <c r="R57" s="35"/>
      <c r="T57" s="37" t="b">
        <v>0</v>
      </c>
      <c r="U57" s="35"/>
      <c r="W57" s="37" t="b">
        <v>0</v>
      </c>
    </row>
    <row r="58" spans="2:23">
      <c r="B58" s="20"/>
      <c r="C58" s="20"/>
      <c r="D58" s="20" t="s">
        <v>637</v>
      </c>
      <c r="E58" s="20"/>
      <c r="J58" s="3" t="s">
        <v>6</v>
      </c>
      <c r="N58" s="8" t="b">
        <v>0</v>
      </c>
      <c r="O58" s="10"/>
      <c r="Q58" s="8" t="b">
        <v>0</v>
      </c>
      <c r="R58" s="10"/>
      <c r="T58" s="8" t="b">
        <v>0</v>
      </c>
      <c r="U58" s="10"/>
      <c r="W58" s="8" t="b">
        <v>0</v>
      </c>
    </row>
    <row r="59" spans="2:23">
      <c r="B59" s="20"/>
      <c r="C59" s="20"/>
      <c r="D59" s="20" t="s">
        <v>638</v>
      </c>
      <c r="E59" s="20"/>
      <c r="J59" s="3" t="s">
        <v>6</v>
      </c>
      <c r="N59" s="8" t="b">
        <v>0</v>
      </c>
      <c r="O59" s="10"/>
      <c r="Q59" s="8" t="b">
        <v>0</v>
      </c>
      <c r="R59" s="10"/>
      <c r="T59" s="8" t="b">
        <v>0</v>
      </c>
      <c r="U59" s="10"/>
      <c r="W59" s="8" t="b">
        <v>0</v>
      </c>
    </row>
    <row r="60" spans="2:23" ht="14.45" customHeight="1">
      <c r="B60" s="20"/>
      <c r="C60" s="20"/>
      <c r="D60" s="20" t="s">
        <v>603</v>
      </c>
      <c r="E60" s="20"/>
      <c r="J60" s="3" t="s">
        <v>6</v>
      </c>
      <c r="N60" s="8" t="b">
        <v>0</v>
      </c>
      <c r="O60" s="10"/>
      <c r="Q60" s="8" t="b">
        <v>0</v>
      </c>
      <c r="R60" s="10"/>
      <c r="T60" s="8" t="b">
        <v>0</v>
      </c>
      <c r="U60" s="10"/>
      <c r="W60" s="8" t="b">
        <v>0</v>
      </c>
    </row>
    <row r="61" spans="2:23" ht="14.45" customHeight="1">
      <c r="B61" s="20"/>
      <c r="C61" s="20"/>
      <c r="D61" s="20"/>
      <c r="E61" s="20"/>
      <c r="N61" s="8" t="b">
        <v>0</v>
      </c>
      <c r="O61" s="10"/>
      <c r="Q61" s="8" t="b">
        <v>0</v>
      </c>
      <c r="R61" s="10"/>
      <c r="T61" s="8" t="b">
        <v>0</v>
      </c>
      <c r="U61" s="10"/>
      <c r="W61" s="8" t="b">
        <v>0</v>
      </c>
    </row>
    <row r="62" spans="2:23" ht="14.45" customHeight="1">
      <c r="B62" s="20"/>
      <c r="C62" s="20"/>
      <c r="D62" s="20"/>
      <c r="E62" s="20"/>
      <c r="N62" s="1"/>
      <c r="O62" s="10"/>
      <c r="Q62" s="1"/>
      <c r="R62" s="10"/>
      <c r="T62" s="1"/>
      <c r="U62" s="10"/>
      <c r="W62" s="1"/>
    </row>
    <row r="63" spans="2:23">
      <c r="B63" s="20" t="s">
        <v>639</v>
      </c>
      <c r="C63" s="20"/>
      <c r="D63" s="20" t="s">
        <v>640</v>
      </c>
      <c r="E63" s="20"/>
      <c r="J63" s="3" t="s">
        <v>89</v>
      </c>
      <c r="L63" s="10"/>
      <c r="N63" s="8" t="b">
        <v>0</v>
      </c>
      <c r="O63" s="10"/>
      <c r="Q63" s="8" t="b">
        <v>0</v>
      </c>
      <c r="R63" s="10"/>
      <c r="T63" s="8" t="b">
        <v>0</v>
      </c>
      <c r="U63" s="10"/>
      <c r="W63" s="8" t="b">
        <v>0</v>
      </c>
    </row>
    <row r="64" spans="2:23">
      <c r="B64" s="20"/>
      <c r="C64" s="20"/>
      <c r="D64" s="20" t="s">
        <v>641</v>
      </c>
      <c r="E64" s="20"/>
      <c r="J64" s="3" t="s">
        <v>89</v>
      </c>
      <c r="L64" s="10"/>
      <c r="N64" s="8" t="b">
        <v>0</v>
      </c>
      <c r="O64" s="10"/>
      <c r="Q64" s="8" t="b">
        <v>0</v>
      </c>
      <c r="R64" s="10"/>
      <c r="T64" s="8" t="b">
        <v>0</v>
      </c>
      <c r="U64" s="10"/>
      <c r="W64" s="8" t="b">
        <v>0</v>
      </c>
    </row>
    <row r="65" spans="2:23">
      <c r="B65" s="20"/>
      <c r="C65" s="20"/>
      <c r="D65" s="20" t="s">
        <v>642</v>
      </c>
      <c r="E65" s="20"/>
      <c r="J65" s="3" t="s">
        <v>89</v>
      </c>
      <c r="L65" s="10"/>
      <c r="N65" s="8" t="b">
        <v>0</v>
      </c>
      <c r="O65" s="10"/>
      <c r="Q65" s="8" t="b">
        <v>0</v>
      </c>
      <c r="R65" s="10"/>
      <c r="T65" s="8" t="b">
        <v>0</v>
      </c>
      <c r="U65" s="10"/>
      <c r="W65" s="8" t="b">
        <v>0</v>
      </c>
    </row>
    <row r="66" spans="2:23">
      <c r="B66" s="20"/>
      <c r="C66" s="20"/>
      <c r="D66" s="20" t="s">
        <v>643</v>
      </c>
      <c r="E66" s="20"/>
      <c r="J66" s="3" t="s">
        <v>89</v>
      </c>
      <c r="L66" s="10"/>
      <c r="N66" s="8" t="b">
        <v>0</v>
      </c>
      <c r="O66" s="10"/>
      <c r="Q66" s="8" t="b">
        <v>0</v>
      </c>
      <c r="R66" s="10"/>
      <c r="T66" s="8" t="b">
        <v>0</v>
      </c>
      <c r="U66" s="10"/>
      <c r="W66" s="8" t="b">
        <v>0</v>
      </c>
    </row>
    <row r="67" spans="2:23">
      <c r="B67" s="20"/>
      <c r="C67" s="20"/>
      <c r="D67" s="20" t="s">
        <v>644</v>
      </c>
      <c r="E67" s="20"/>
      <c r="J67" s="3" t="s">
        <v>89</v>
      </c>
      <c r="L67" s="10"/>
      <c r="N67" s="8" t="b">
        <v>0</v>
      </c>
      <c r="O67" s="10"/>
      <c r="Q67" s="8" t="b">
        <v>0</v>
      </c>
      <c r="R67" s="10"/>
      <c r="T67" s="8" t="b">
        <v>0</v>
      </c>
      <c r="U67" s="10"/>
      <c r="W67" s="8" t="b">
        <v>0</v>
      </c>
    </row>
    <row r="68" spans="2:23">
      <c r="B68" s="20"/>
      <c r="C68" s="20"/>
      <c r="D68" s="20" t="s">
        <v>645</v>
      </c>
      <c r="E68" s="20"/>
      <c r="J68" s="3" t="s">
        <v>89</v>
      </c>
      <c r="L68" s="10"/>
      <c r="N68" s="8" t="b">
        <v>0</v>
      </c>
      <c r="O68" s="10"/>
      <c r="Q68" s="8" t="b">
        <v>0</v>
      </c>
      <c r="R68" s="10"/>
      <c r="T68" s="8" t="b">
        <v>0</v>
      </c>
      <c r="U68" s="10"/>
      <c r="W68" s="8" t="b">
        <v>0</v>
      </c>
    </row>
    <row r="69" spans="2:23">
      <c r="B69" s="20"/>
      <c r="C69" s="20"/>
      <c r="D69" s="20" t="s">
        <v>646</v>
      </c>
      <c r="E69" s="20"/>
      <c r="J69" s="3" t="s">
        <v>89</v>
      </c>
      <c r="L69" s="10"/>
      <c r="N69" s="8" t="b">
        <v>0</v>
      </c>
      <c r="O69" s="10"/>
      <c r="Q69" s="8" t="b">
        <v>0</v>
      </c>
      <c r="R69" s="10"/>
      <c r="T69" s="8" t="b">
        <v>0</v>
      </c>
      <c r="U69" s="10"/>
      <c r="W69" s="8" t="b">
        <v>0</v>
      </c>
    </row>
    <row r="70" spans="2:23" s="15" customFormat="1" ht="18" customHeight="1">
      <c r="B70" s="31" t="s">
        <v>270</v>
      </c>
      <c r="C70" s="31"/>
      <c r="D70" s="31" t="s">
        <v>647</v>
      </c>
      <c r="E70" s="31"/>
      <c r="F70" s="33"/>
      <c r="G70" s="33"/>
      <c r="H70" s="33"/>
      <c r="L70" s="35"/>
      <c r="N70" s="34"/>
      <c r="O70" s="35"/>
      <c r="Q70" s="34"/>
      <c r="R70" s="35"/>
      <c r="T70" s="34"/>
      <c r="U70" s="35"/>
      <c r="W70" s="34"/>
    </row>
    <row r="71" spans="2:23" s="15" customFormat="1" ht="18" customHeight="1">
      <c r="B71" s="31"/>
      <c r="C71" s="31"/>
      <c r="D71" s="31" t="s">
        <v>648</v>
      </c>
      <c r="E71" s="31"/>
      <c r="F71" s="33"/>
      <c r="G71" s="33"/>
      <c r="H71" s="33"/>
      <c r="L71" s="35"/>
      <c r="N71" s="37" t="b">
        <v>0</v>
      </c>
      <c r="O71" s="35"/>
      <c r="Q71" s="37" t="b">
        <v>0</v>
      </c>
      <c r="R71" s="35"/>
      <c r="T71" s="37" t="b">
        <v>0</v>
      </c>
      <c r="U71" s="35"/>
      <c r="W71" s="34"/>
    </row>
    <row r="72" spans="2:23" ht="18" customHeight="1">
      <c r="B72" s="20"/>
      <c r="C72" s="20"/>
      <c r="D72" s="20"/>
      <c r="E72" s="20"/>
      <c r="L72" s="10"/>
      <c r="U72" s="10"/>
      <c r="W72" s="8" t="b">
        <v>0</v>
      </c>
    </row>
    <row r="73" spans="2:23" ht="18" customHeight="1">
      <c r="B73" s="20"/>
      <c r="C73" s="20"/>
      <c r="D73" s="20" t="s">
        <v>619</v>
      </c>
      <c r="E73" s="20"/>
      <c r="L73" s="10"/>
      <c r="N73" s="8" t="b">
        <v>0</v>
      </c>
      <c r="O73" s="10"/>
      <c r="Q73" s="8" t="b">
        <v>0</v>
      </c>
      <c r="R73" s="10"/>
      <c r="T73" s="8" t="b">
        <v>0</v>
      </c>
      <c r="U73" s="10"/>
      <c r="W73" s="8" t="b">
        <v>0</v>
      </c>
    </row>
    <row r="74" spans="2:23" ht="18" customHeight="1">
      <c r="B74" s="20" t="s">
        <v>543</v>
      </c>
      <c r="C74" s="20"/>
      <c r="D74" s="20" t="s">
        <v>649</v>
      </c>
      <c r="E74" s="20"/>
      <c r="L74" s="10"/>
      <c r="N74" s="8" t="b">
        <v>0</v>
      </c>
      <c r="O74" s="10"/>
      <c r="Q74" s="8" t="b">
        <v>0</v>
      </c>
      <c r="R74" s="10"/>
      <c r="T74" s="8" t="b">
        <v>0</v>
      </c>
      <c r="U74" s="10"/>
      <c r="W74" s="8" t="b">
        <v>0</v>
      </c>
    </row>
    <row r="75" spans="2:23" ht="18" customHeight="1">
      <c r="B75" s="20"/>
      <c r="C75" s="20"/>
      <c r="D75" s="20" t="s">
        <v>650</v>
      </c>
      <c r="E75" s="20"/>
      <c r="L75" s="10"/>
      <c r="N75" s="8" t="b">
        <v>0</v>
      </c>
      <c r="O75" s="10"/>
      <c r="Q75" s="8" t="b">
        <v>0</v>
      </c>
      <c r="R75" s="10"/>
      <c r="T75" s="8" t="b">
        <v>0</v>
      </c>
      <c r="U75" s="10"/>
      <c r="W75" s="8" t="b">
        <v>0</v>
      </c>
    </row>
    <row r="76" spans="2:23" ht="18" customHeight="1">
      <c r="B76" s="20"/>
      <c r="C76" s="20"/>
      <c r="D76" s="20" t="s">
        <v>623</v>
      </c>
      <c r="E76" s="20"/>
      <c r="L76" s="10"/>
      <c r="N76" s="8" t="b">
        <v>0</v>
      </c>
      <c r="O76" s="10"/>
      <c r="Q76" s="8" t="b">
        <v>0</v>
      </c>
      <c r="R76" s="10"/>
      <c r="T76" s="8" t="b">
        <v>0</v>
      </c>
      <c r="U76" s="10"/>
      <c r="W76" s="8" t="b">
        <v>0</v>
      </c>
    </row>
    <row r="77" spans="2:23" ht="18" customHeight="1">
      <c r="B77" s="20"/>
      <c r="C77" s="20"/>
      <c r="D77" s="20" t="s">
        <v>651</v>
      </c>
      <c r="E77" s="20"/>
      <c r="L77" s="10"/>
      <c r="N77" s="8" t="b">
        <v>0</v>
      </c>
      <c r="O77" s="10"/>
      <c r="Q77" s="8" t="b">
        <v>0</v>
      </c>
      <c r="R77" s="10"/>
      <c r="T77" s="8" t="b">
        <v>0</v>
      </c>
      <c r="U77" s="10"/>
      <c r="W77" s="8" t="b">
        <v>0</v>
      </c>
    </row>
    <row r="78" spans="2:23" ht="18" customHeight="1">
      <c r="B78" s="20"/>
      <c r="C78" s="20"/>
      <c r="D78" s="20"/>
      <c r="E78" s="20"/>
      <c r="L78" s="10"/>
      <c r="N78" s="1"/>
      <c r="O78" s="10"/>
      <c r="Q78" s="1"/>
      <c r="R78" s="10"/>
      <c r="T78" s="1"/>
      <c r="U78" s="10"/>
      <c r="W78" s="8" t="b">
        <v>0</v>
      </c>
    </row>
    <row r="79" spans="2:23" ht="18" customHeight="1">
      <c r="B79" s="20" t="s">
        <v>411</v>
      </c>
      <c r="C79" s="20"/>
      <c r="D79" s="20" t="s">
        <v>652</v>
      </c>
      <c r="E79" s="20"/>
      <c r="L79" s="10"/>
      <c r="N79" s="8" t="b">
        <v>0</v>
      </c>
      <c r="O79" s="10"/>
      <c r="Q79" s="8" t="b">
        <v>0</v>
      </c>
      <c r="R79" s="10"/>
      <c r="T79" s="8" t="b">
        <v>0</v>
      </c>
      <c r="U79" s="10"/>
      <c r="W79" s="8" t="b">
        <v>0</v>
      </c>
    </row>
    <row r="80" spans="2:23" ht="18" customHeight="1">
      <c r="B80" s="20"/>
      <c r="C80" s="20"/>
      <c r="D80" s="20" t="s">
        <v>653</v>
      </c>
      <c r="E80" s="20"/>
      <c r="L80" s="10"/>
      <c r="N80" s="8" t="b">
        <v>0</v>
      </c>
      <c r="O80" s="10"/>
      <c r="Q80" s="8" t="b">
        <v>0</v>
      </c>
      <c r="R80" s="10"/>
      <c r="T80" s="8" t="b">
        <v>0</v>
      </c>
      <c r="U80" s="10"/>
      <c r="W80" s="8" t="b">
        <v>0</v>
      </c>
    </row>
    <row r="81" spans="2:23" ht="18" customHeight="1">
      <c r="B81" s="20"/>
      <c r="C81" s="20"/>
      <c r="D81" s="20" t="s">
        <v>629</v>
      </c>
      <c r="E81" s="20"/>
      <c r="L81" s="10"/>
      <c r="N81" s="8" t="b">
        <v>0</v>
      </c>
      <c r="O81" s="10"/>
      <c r="Q81" s="8" t="b">
        <v>0</v>
      </c>
      <c r="R81" s="10"/>
      <c r="T81" s="8" t="b">
        <v>0</v>
      </c>
      <c r="U81" s="10"/>
      <c r="W81" s="8" t="b">
        <v>0</v>
      </c>
    </row>
    <row r="82" spans="2:23" ht="18" customHeight="1">
      <c r="B82" s="20"/>
      <c r="C82" s="20"/>
      <c r="D82" s="20"/>
      <c r="E82" s="20"/>
      <c r="L82" s="10"/>
      <c r="N82" s="8" t="b">
        <v>0</v>
      </c>
      <c r="O82" s="10"/>
      <c r="Q82" s="8" t="b">
        <v>0</v>
      </c>
      <c r="R82" s="10"/>
      <c r="T82" s="8" t="b">
        <v>0</v>
      </c>
      <c r="U82" s="10"/>
      <c r="W82" s="8" t="b">
        <v>0</v>
      </c>
    </row>
    <row r="83" spans="2:23" ht="18" customHeight="1">
      <c r="B83" s="20"/>
      <c r="C83" s="20"/>
      <c r="D83" s="20"/>
      <c r="E83" s="20"/>
      <c r="L83" s="10"/>
      <c r="N83" s="1"/>
      <c r="O83" s="10"/>
      <c r="Q83" s="1"/>
      <c r="R83" s="10"/>
      <c r="T83" s="1"/>
      <c r="U83" s="10"/>
      <c r="W83" s="8" t="b">
        <v>0</v>
      </c>
    </row>
    <row r="84" spans="2:23" ht="18" customHeight="1">
      <c r="B84" s="20" t="s">
        <v>324</v>
      </c>
      <c r="C84" s="20"/>
      <c r="D84" s="20" t="s">
        <v>654</v>
      </c>
      <c r="E84" s="20"/>
      <c r="L84" s="10"/>
      <c r="N84" s="8" t="b">
        <v>0</v>
      </c>
      <c r="O84" s="10"/>
      <c r="Q84" s="8" t="b">
        <v>0</v>
      </c>
      <c r="R84" s="10"/>
      <c r="T84" s="8" t="b">
        <v>0</v>
      </c>
      <c r="U84" s="10"/>
      <c r="W84" s="8" t="b">
        <v>0</v>
      </c>
    </row>
    <row r="85" spans="2:23" ht="18" customHeight="1">
      <c r="B85" s="20"/>
      <c r="C85" s="20"/>
      <c r="D85" s="20" t="s">
        <v>655</v>
      </c>
      <c r="E85" s="20"/>
      <c r="J85" s="3" t="s">
        <v>7</v>
      </c>
      <c r="L85" s="10"/>
      <c r="N85" s="8" t="b">
        <v>0</v>
      </c>
      <c r="O85" s="10"/>
      <c r="Q85" s="8" t="b">
        <v>0</v>
      </c>
      <c r="R85" s="10"/>
      <c r="T85" s="8" t="b">
        <v>0</v>
      </c>
      <c r="U85" s="10"/>
      <c r="W85" s="8" t="b">
        <v>0</v>
      </c>
    </row>
    <row r="86" spans="2:23" ht="18" customHeight="1">
      <c r="B86" s="20"/>
      <c r="C86" s="20"/>
      <c r="D86" s="20" t="s">
        <v>391</v>
      </c>
      <c r="E86" s="20"/>
      <c r="H86" s="13">
        <v>229.48</v>
      </c>
      <c r="J86" s="3" t="s">
        <v>12</v>
      </c>
      <c r="L86" s="10"/>
      <c r="N86" s="1"/>
      <c r="O86" s="10"/>
      <c r="Q86" s="1"/>
      <c r="R86" s="10"/>
      <c r="T86" s="1"/>
      <c r="U86" s="10"/>
      <c r="W86" s="1"/>
    </row>
    <row r="87" spans="2:23" ht="18" customHeight="1">
      <c r="B87" s="20"/>
      <c r="C87" s="20"/>
      <c r="D87" s="20"/>
      <c r="E87" s="20"/>
      <c r="L87" s="10"/>
      <c r="N87" s="1"/>
      <c r="O87" s="10"/>
      <c r="Q87" s="1"/>
      <c r="R87" s="10"/>
      <c r="T87" s="1"/>
      <c r="U87" s="10"/>
      <c r="W87" s="1"/>
    </row>
    <row r="88" spans="2:23" ht="18" customHeight="1">
      <c r="B88" s="20" t="s">
        <v>632</v>
      </c>
      <c r="C88" s="20"/>
      <c r="D88" s="20" t="s">
        <v>656</v>
      </c>
      <c r="E88" s="20"/>
      <c r="L88" s="10"/>
      <c r="N88" s="8" t="b">
        <v>0</v>
      </c>
      <c r="O88" s="10"/>
      <c r="Q88" s="8" t="b">
        <v>0</v>
      </c>
      <c r="R88" s="10"/>
      <c r="T88" s="8" t="b">
        <v>0</v>
      </c>
      <c r="U88" s="10"/>
      <c r="W88" s="8" t="b">
        <v>0</v>
      </c>
    </row>
    <row r="89" spans="2:23" ht="18" customHeight="1">
      <c r="B89" s="20"/>
      <c r="C89" s="20"/>
      <c r="D89" s="20" t="s">
        <v>634</v>
      </c>
      <c r="E89" s="20"/>
      <c r="J89" s="3" t="s">
        <v>6</v>
      </c>
      <c r="L89" s="10"/>
      <c r="N89" s="8" t="b">
        <v>0</v>
      </c>
      <c r="O89" s="10"/>
      <c r="Q89" s="8" t="b">
        <v>0</v>
      </c>
      <c r="R89" s="10"/>
      <c r="T89" s="8" t="b">
        <v>0</v>
      </c>
      <c r="U89" s="10"/>
      <c r="W89" s="8" t="b">
        <v>0</v>
      </c>
    </row>
    <row r="90" spans="2:23">
      <c r="B90" s="20"/>
      <c r="C90" s="20"/>
      <c r="D90" s="20"/>
      <c r="E90" s="20"/>
      <c r="N90" s="1"/>
      <c r="O90" s="10"/>
      <c r="Q90" s="1"/>
      <c r="R90" s="10"/>
      <c r="T90" s="1"/>
      <c r="W90" s="1"/>
    </row>
    <row r="91" spans="2:23">
      <c r="C91" s="20"/>
      <c r="D91" s="20"/>
      <c r="E91" s="21"/>
      <c r="N91" s="1"/>
      <c r="O91" s="10"/>
      <c r="Q91" s="1"/>
      <c r="R91" s="10"/>
      <c r="T91" s="1"/>
      <c r="W91" s="1"/>
    </row>
    <row r="92" spans="2:23">
      <c r="B92" s="20" t="s">
        <v>657</v>
      </c>
      <c r="C92" s="20"/>
      <c r="D92" s="20" t="s">
        <v>658</v>
      </c>
      <c r="E92" s="20"/>
      <c r="J92" s="3" t="s">
        <v>659</v>
      </c>
      <c r="N92" s="8" t="b">
        <v>0</v>
      </c>
      <c r="O92" s="10"/>
      <c r="Q92" s="8" t="b">
        <v>1</v>
      </c>
      <c r="R92" s="10"/>
      <c r="T92" s="8" t="b">
        <v>0</v>
      </c>
      <c r="W92" s="8" t="b">
        <v>0</v>
      </c>
    </row>
    <row r="93" spans="2:23">
      <c r="B93" s="20" t="s">
        <v>660</v>
      </c>
      <c r="C93" s="20"/>
      <c r="D93" s="20" t="s">
        <v>661</v>
      </c>
      <c r="E93" s="20"/>
      <c r="J93" s="3" t="s">
        <v>659</v>
      </c>
      <c r="N93" s="8" t="b">
        <v>0</v>
      </c>
      <c r="O93" s="10"/>
      <c r="Q93" s="8" t="b">
        <v>1</v>
      </c>
      <c r="R93" s="10"/>
      <c r="T93" s="8" t="b">
        <v>0</v>
      </c>
      <c r="W93" s="8" t="b">
        <v>0</v>
      </c>
    </row>
    <row r="94" spans="2:23">
      <c r="B94" s="20" t="s">
        <v>349</v>
      </c>
      <c r="C94" s="20"/>
      <c r="D94" s="20" t="s">
        <v>662</v>
      </c>
      <c r="E94" s="20"/>
      <c r="N94" s="1"/>
      <c r="O94" s="10"/>
      <c r="Q94" s="1"/>
      <c r="T94" s="1"/>
      <c r="W94" s="1"/>
    </row>
    <row r="95" spans="2:23" s="15" customFormat="1">
      <c r="B95" s="31" t="s">
        <v>663</v>
      </c>
      <c r="C95" s="31"/>
      <c r="D95" s="31" t="s">
        <v>664</v>
      </c>
      <c r="E95" s="31"/>
      <c r="F95" s="33"/>
      <c r="G95" s="33"/>
      <c r="H95" s="33"/>
      <c r="N95" s="34"/>
      <c r="O95" s="35"/>
      <c r="Q95" s="37" t="b">
        <v>0</v>
      </c>
      <c r="T95" s="37" t="b">
        <v>0</v>
      </c>
      <c r="W95" s="34"/>
    </row>
    <row r="96" spans="2:23">
      <c r="B96" s="20"/>
      <c r="C96" s="20"/>
      <c r="D96" s="20"/>
      <c r="E96" s="20"/>
      <c r="N96" s="1"/>
      <c r="O96" s="10"/>
      <c r="Q96" s="1"/>
      <c r="T96" s="1"/>
      <c r="W96" s="1"/>
    </row>
    <row r="97" spans="1:23" s="5" customFormat="1">
      <c r="A97" s="5" t="s">
        <v>665</v>
      </c>
      <c r="B97" s="52"/>
      <c r="C97" s="52"/>
      <c r="D97" s="52"/>
      <c r="E97" s="52"/>
      <c r="F97" s="11"/>
      <c r="G97" s="53"/>
      <c r="H97" s="53"/>
      <c r="I97" s="54"/>
      <c r="J97" s="54"/>
      <c r="N97" s="55"/>
      <c r="Q97" s="55"/>
      <c r="T97" s="55"/>
      <c r="W97" s="55"/>
    </row>
    <row r="98" spans="1:23">
      <c r="B98" s="20" t="s">
        <v>666</v>
      </c>
      <c r="C98" s="20"/>
      <c r="D98" s="20" t="s">
        <v>667</v>
      </c>
      <c r="E98" s="20"/>
      <c r="F98" s="13">
        <v>10950</v>
      </c>
      <c r="H98" s="13">
        <v>3543.82</v>
      </c>
      <c r="N98" s="18"/>
      <c r="Q98" s="18" t="s">
        <v>586</v>
      </c>
      <c r="T98" s="18"/>
      <c r="W98" s="18"/>
    </row>
    <row r="99" spans="1:23">
      <c r="B99" s="20"/>
      <c r="C99" s="20"/>
      <c r="D99" s="20"/>
      <c r="E99" s="20"/>
      <c r="N99" s="1"/>
      <c r="O99" s="10"/>
      <c r="Q99" s="1"/>
      <c r="T99" s="1"/>
      <c r="W99" s="1"/>
    </row>
    <row r="100" spans="1:23">
      <c r="B100" s="20"/>
      <c r="C100" s="20"/>
      <c r="D100" s="20"/>
      <c r="E100" s="20"/>
      <c r="N100" s="1"/>
      <c r="O100" s="10"/>
      <c r="Q100" s="1"/>
      <c r="T100" s="1"/>
      <c r="W100" s="1"/>
    </row>
    <row r="101" spans="1:23" s="38" customFormat="1">
      <c r="A101" s="38" t="s">
        <v>668</v>
      </c>
      <c r="B101" s="64"/>
      <c r="C101" s="64"/>
      <c r="D101" s="31" t="s">
        <v>669</v>
      </c>
      <c r="E101" s="64"/>
      <c r="F101" s="45"/>
      <c r="G101" s="45"/>
      <c r="H101" s="45"/>
      <c r="N101" s="46"/>
      <c r="O101" s="65"/>
      <c r="Q101" s="46"/>
      <c r="T101" s="46"/>
      <c r="W101" s="46"/>
    </row>
    <row r="102" spans="1:23">
      <c r="B102" s="20"/>
      <c r="C102" s="20"/>
      <c r="D102" s="20"/>
      <c r="E102" s="20"/>
      <c r="N102" s="1"/>
      <c r="O102" s="10"/>
      <c r="Q102" s="1"/>
      <c r="T102" s="1"/>
      <c r="W102" s="1"/>
    </row>
    <row r="103" spans="1:23">
      <c r="B103" s="20"/>
      <c r="C103" s="20"/>
      <c r="D103" s="20"/>
      <c r="E103" s="20"/>
      <c r="N103" s="1"/>
      <c r="Q103" s="1"/>
      <c r="T103" s="1"/>
      <c r="W103" s="1"/>
    </row>
    <row r="104" spans="1:23" s="5" customFormat="1">
      <c r="C104" s="4"/>
      <c r="D104" s="5" t="s">
        <v>670</v>
      </c>
      <c r="F104" s="11">
        <f>SUM(F3:F103)</f>
        <v>38000</v>
      </c>
      <c r="G104" s="11"/>
      <c r="H104" s="11">
        <f>SUM(H4:H103)</f>
        <v>24198.750000000004</v>
      </c>
      <c r="M104" s="3"/>
      <c r="N104" s="1"/>
      <c r="O104" s="3"/>
      <c r="Q104" s="1"/>
      <c r="T104" s="1"/>
      <c r="W104" s="1"/>
    </row>
    <row r="105" spans="1:23">
      <c r="A105" s="3" t="s">
        <v>671</v>
      </c>
      <c r="B105" s="20"/>
      <c r="C105" s="20"/>
      <c r="D105" s="20" t="s">
        <v>672</v>
      </c>
      <c r="E105" s="20"/>
      <c r="H105" s="13">
        <v>698.83</v>
      </c>
      <c r="N105" s="1"/>
      <c r="O105" s="10"/>
      <c r="Q105" s="1"/>
      <c r="T105" s="1"/>
      <c r="W105" s="1"/>
    </row>
    <row r="106" spans="1:23" s="5" customFormat="1">
      <c r="C106" s="4"/>
      <c r="F106" s="11"/>
      <c r="G106" s="11"/>
      <c r="H106" s="11"/>
      <c r="M106" s="3"/>
      <c r="N106" s="1"/>
      <c r="O106" s="3"/>
      <c r="Q106" s="1"/>
      <c r="T106" s="1"/>
      <c r="W106" s="1"/>
    </row>
    <row r="107" spans="1:23" s="5" customFormat="1">
      <c r="C107" s="1"/>
      <c r="D107" s="3"/>
      <c r="E107" s="3"/>
      <c r="F107" s="11"/>
      <c r="G107" s="11"/>
      <c r="H107" s="11"/>
      <c r="M107" s="3"/>
      <c r="N107" s="1"/>
      <c r="O107" s="3"/>
      <c r="Q107" s="1"/>
      <c r="T107" s="1"/>
      <c r="W107" s="1"/>
    </row>
    <row r="108" spans="1:23" s="5" customFormat="1">
      <c r="C108" s="1"/>
      <c r="D108" s="3"/>
      <c r="E108" s="3"/>
      <c r="F108" s="11"/>
      <c r="G108" s="11"/>
      <c r="H108" s="11"/>
      <c r="M108" s="3"/>
      <c r="N108" s="1"/>
      <c r="O108" s="3"/>
      <c r="Q108" s="1"/>
      <c r="T108" s="1"/>
      <c r="W108" s="1"/>
    </row>
    <row r="109" spans="1:23" s="5" customFormat="1">
      <c r="C109" s="1"/>
      <c r="D109" s="3"/>
      <c r="E109" s="3"/>
      <c r="F109" s="11"/>
      <c r="G109" s="11"/>
      <c r="H109" s="11"/>
      <c r="M109" s="3"/>
      <c r="N109" s="1"/>
      <c r="O109" s="3"/>
      <c r="Q109" s="1"/>
      <c r="T109" s="1"/>
      <c r="W109" s="1"/>
    </row>
    <row r="110" spans="1:23" s="5" customFormat="1">
      <c r="C110" s="1"/>
      <c r="D110" s="3"/>
      <c r="E110" s="3"/>
      <c r="F110" s="11"/>
      <c r="G110" s="11"/>
      <c r="H110" s="11"/>
      <c r="M110" s="3"/>
      <c r="N110" s="1"/>
      <c r="O110" s="3"/>
      <c r="Q110" s="1"/>
      <c r="T110" s="1"/>
      <c r="W110" s="1"/>
    </row>
    <row r="111" spans="1:23">
      <c r="C111" s="1"/>
      <c r="N111" s="1"/>
      <c r="Q111" s="1"/>
      <c r="T111" s="1"/>
      <c r="W111" s="1"/>
    </row>
    <row r="112" spans="1:23">
      <c r="C112" s="1"/>
      <c r="N112" s="1"/>
      <c r="Q112" s="1"/>
      <c r="T112" s="1"/>
      <c r="W112" s="1"/>
    </row>
    <row r="113" spans="3:23">
      <c r="C113" s="1"/>
      <c r="N113" s="1"/>
      <c r="Q113" s="1"/>
      <c r="T113" s="1"/>
      <c r="W113" s="1"/>
    </row>
    <row r="114" spans="3:23">
      <c r="C114" s="1"/>
      <c r="N114" s="1"/>
      <c r="Q114" s="1"/>
      <c r="T114" s="1"/>
      <c r="W114" s="1"/>
    </row>
    <row r="115" spans="3:23">
      <c r="C115" s="1"/>
      <c r="N115" s="1"/>
      <c r="Q115" s="1"/>
      <c r="T115" s="1"/>
      <c r="W115" s="1"/>
    </row>
    <row r="116" spans="3:23">
      <c r="C116" s="18"/>
      <c r="N116" s="1"/>
      <c r="Q116" s="1"/>
      <c r="T116" s="1"/>
      <c r="W116" s="1"/>
    </row>
    <row r="117" spans="3:23">
      <c r="C117" s="1"/>
      <c r="M117" s="5"/>
      <c r="N117" s="1"/>
      <c r="O117" s="5"/>
      <c r="Q117" s="1"/>
      <c r="T117" s="1"/>
      <c r="W117" s="1"/>
    </row>
    <row r="118" spans="3:23">
      <c r="C118" s="1"/>
      <c r="M118" s="5"/>
      <c r="N118" s="1"/>
      <c r="O118" s="5"/>
      <c r="Q118" s="1"/>
      <c r="T118" s="1"/>
      <c r="W118" s="1"/>
    </row>
    <row r="119" spans="3:23">
      <c r="C119" s="1"/>
      <c r="M119" s="5"/>
      <c r="N119" s="1"/>
      <c r="O119" s="5"/>
      <c r="Q119" s="1"/>
      <c r="T119" s="1"/>
      <c r="W119" s="1"/>
    </row>
    <row r="120" spans="3:23">
      <c r="C120" s="1"/>
      <c r="M120" s="5"/>
      <c r="N120" s="1"/>
      <c r="O120" s="5"/>
      <c r="Q120" s="1"/>
      <c r="T120" s="1"/>
      <c r="W120" s="1"/>
    </row>
    <row r="121" spans="3:23">
      <c r="C121" s="1"/>
      <c r="N121" s="1"/>
      <c r="Q121" s="1"/>
      <c r="T121" s="1"/>
      <c r="W121" s="1"/>
    </row>
    <row r="122" spans="3:23">
      <c r="C122" s="1"/>
      <c r="N122" s="2"/>
      <c r="Q122" s="2"/>
      <c r="T122" s="2"/>
      <c r="W122" s="2"/>
    </row>
    <row r="123" spans="3:23" s="5" customFormat="1">
      <c r="C123" s="4"/>
      <c r="F123" s="11"/>
      <c r="G123" s="11"/>
      <c r="H123" s="11"/>
      <c r="N123" s="14"/>
      <c r="Q123" s="14"/>
      <c r="T123" s="14"/>
      <c r="W123" s="14"/>
    </row>
    <row r="124" spans="3:23" s="5" customFormat="1">
      <c r="C124" s="4"/>
      <c r="F124" s="11"/>
      <c r="G124" s="11"/>
      <c r="H124" s="11"/>
      <c r="M124" s="3"/>
      <c r="N124" s="2"/>
      <c r="O124" s="3"/>
      <c r="Q124" s="2"/>
      <c r="T124" s="2"/>
      <c r="W124" s="2"/>
    </row>
    <row r="125" spans="3:23" s="5" customFormat="1">
      <c r="C125" s="1"/>
      <c r="D125" s="3"/>
      <c r="E125" s="3"/>
      <c r="F125" s="11"/>
      <c r="G125" s="11"/>
      <c r="H125" s="11"/>
      <c r="N125" s="4"/>
      <c r="Q125" s="4"/>
      <c r="T125" s="4"/>
      <c r="W125" s="4"/>
    </row>
    <row r="126" spans="3:23" s="5" customFormat="1">
      <c r="C126" s="1"/>
      <c r="D126" s="3"/>
      <c r="E126" s="3"/>
      <c r="F126" s="11"/>
      <c r="G126" s="11"/>
      <c r="H126" s="11"/>
      <c r="N126" s="4"/>
      <c r="Q126" s="4"/>
      <c r="T126" s="4"/>
      <c r="W126" s="4"/>
    </row>
    <row r="127" spans="3:23">
      <c r="C127" s="1"/>
      <c r="M127" s="5"/>
      <c r="N127" s="4"/>
      <c r="O127" s="5"/>
      <c r="Q127" s="4"/>
      <c r="T127" s="4"/>
      <c r="W127" s="4"/>
    </row>
    <row r="128" spans="3:23">
      <c r="C128" s="1"/>
      <c r="M128" s="5"/>
      <c r="N128" s="1"/>
      <c r="O128" s="5"/>
      <c r="Q128" s="1"/>
      <c r="T128" s="1"/>
      <c r="W128" s="1"/>
    </row>
    <row r="129" spans="3:23">
      <c r="C129" s="1"/>
      <c r="M129" s="5"/>
      <c r="N129" s="1"/>
      <c r="O129" s="5"/>
      <c r="Q129" s="1"/>
      <c r="T129" s="1"/>
      <c r="W129" s="1"/>
    </row>
    <row r="130" spans="3:23">
      <c r="C130" s="1"/>
      <c r="N130" s="1"/>
      <c r="Q130" s="1"/>
      <c r="T130" s="1"/>
      <c r="W130" s="1"/>
    </row>
    <row r="131" spans="3:23">
      <c r="C131" s="1"/>
      <c r="N131" s="1"/>
      <c r="Q131" s="1"/>
      <c r="T131" s="1"/>
      <c r="W131" s="1"/>
    </row>
    <row r="132" spans="3:23">
      <c r="C132" s="1"/>
      <c r="N132" s="1"/>
      <c r="Q132" s="1"/>
      <c r="T132" s="1"/>
      <c r="W132" s="1"/>
    </row>
    <row r="133" spans="3:23">
      <c r="C133" s="1"/>
      <c r="N133" s="1"/>
      <c r="Q133" s="1"/>
      <c r="T133" s="1"/>
      <c r="W133" s="1"/>
    </row>
    <row r="134" spans="3:23">
      <c r="C134" s="1"/>
      <c r="N134" s="1"/>
      <c r="Q134" s="1"/>
      <c r="T134" s="1"/>
      <c r="W134" s="1"/>
    </row>
    <row r="135" spans="3:23">
      <c r="C135" s="1"/>
      <c r="N135" s="1"/>
      <c r="Q135" s="1"/>
      <c r="T135" s="1"/>
      <c r="W135" s="1"/>
    </row>
    <row r="136" spans="3:23">
      <c r="C136" s="1"/>
      <c r="N136" s="1"/>
      <c r="Q136" s="1"/>
      <c r="T136" s="1"/>
      <c r="W136" s="1"/>
    </row>
    <row r="137" spans="3:23">
      <c r="C137" s="1"/>
      <c r="N137" s="1"/>
      <c r="Q137" s="1"/>
      <c r="T137" s="1"/>
      <c r="W137" s="1"/>
    </row>
    <row r="138" spans="3:23">
      <c r="N138" s="1"/>
      <c r="Q138" s="1"/>
      <c r="T138" s="1"/>
      <c r="W138" s="1"/>
    </row>
    <row r="139" spans="3:23">
      <c r="N139" s="1"/>
      <c r="Q139" s="1"/>
      <c r="T139" s="1"/>
      <c r="W139" s="1"/>
    </row>
    <row r="140" spans="3:23">
      <c r="N140" s="1"/>
      <c r="Q140" s="1"/>
      <c r="T140" s="1"/>
      <c r="W140" s="1"/>
    </row>
  </sheetData>
  <pageMargins left="0.7" right="0.7" top="0.75" bottom="0.75" header="0.3" footer="0.3"/>
  <pageSetup orientation="portrait" horizontalDpi="203" verticalDpi="203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D3C8-E783-4975-B24B-A1C56FA59C45}">
  <dimension ref="A1:W72"/>
  <sheetViews>
    <sheetView workbookViewId="0">
      <pane ySplit="2" topLeftCell="A30" activePane="bottomLeft" state="frozen"/>
      <selection pane="bottomLeft" activeCell="F30" sqref="F30"/>
    </sheetView>
  </sheetViews>
  <sheetFormatPr defaultColWidth="8.85546875" defaultRowHeight="15.95"/>
  <cols>
    <col min="1" max="1" width="14.140625" style="3" customWidth="1"/>
    <col min="2" max="2" width="42.85546875" style="3" customWidth="1"/>
    <col min="3" max="3" width="15.28515625" style="3" customWidth="1"/>
    <col min="4" max="4" width="14.5703125" style="13" customWidth="1"/>
    <col min="5" max="5" width="2.140625" style="3" customWidth="1"/>
    <col min="6" max="6" width="14.5703125" style="13" customWidth="1"/>
    <col min="7" max="7" width="2.140625" style="3" customWidth="1"/>
    <col min="8" max="8" width="26.5703125" style="3" customWidth="1"/>
    <col min="9" max="9" width="2.42578125" style="3" customWidth="1"/>
    <col min="10" max="10" width="13.7109375" style="3" customWidth="1"/>
    <col min="11" max="11" width="2.42578125" style="3" customWidth="1"/>
    <col min="12" max="12" width="8.85546875" style="3"/>
    <col min="13" max="13" width="13.7109375" style="3" customWidth="1"/>
    <col min="14" max="14" width="2.7109375" style="3" customWidth="1"/>
    <col min="15" max="15" width="8.85546875" style="3"/>
    <col min="16" max="16" width="13.7109375" style="3" customWidth="1"/>
    <col min="17" max="17" width="2.7109375" style="3" customWidth="1"/>
    <col min="18" max="18" width="6.85546875" style="3" customWidth="1"/>
    <col min="19" max="19" width="11.42578125" style="3" customWidth="1"/>
    <col min="20" max="20" width="2.42578125" style="3" customWidth="1"/>
    <col min="21" max="21" width="15.5703125" style="3" customWidth="1"/>
    <col min="22" max="22" width="3.140625" style="3" customWidth="1"/>
    <col min="23" max="23" width="31" style="3" customWidth="1"/>
    <col min="24" max="16384" width="8.85546875" style="3"/>
  </cols>
  <sheetData>
    <row r="1" spans="1:23" s="5" customFormat="1">
      <c r="A1" s="5" t="s">
        <v>402</v>
      </c>
      <c r="D1" s="11"/>
      <c r="F1" s="11"/>
      <c r="L1" s="4"/>
      <c r="O1" s="4"/>
      <c r="R1" s="4"/>
    </row>
    <row r="2" spans="1:23" s="5" customFormat="1" ht="47.65">
      <c r="B2" s="5" t="s">
        <v>673</v>
      </c>
      <c r="C2" s="5" t="s">
        <v>214</v>
      </c>
      <c r="D2" s="12" t="s">
        <v>111</v>
      </c>
      <c r="F2" s="12" t="s">
        <v>68</v>
      </c>
      <c r="H2" s="6" t="s">
        <v>5</v>
      </c>
      <c r="I2" s="6"/>
      <c r="J2" s="7" t="s">
        <v>674</v>
      </c>
      <c r="K2" s="6"/>
      <c r="L2" s="17"/>
      <c r="M2" s="7" t="s">
        <v>193</v>
      </c>
      <c r="O2" s="17"/>
      <c r="P2" s="7" t="s">
        <v>69</v>
      </c>
      <c r="R2" s="17"/>
      <c r="S2" s="7" t="s">
        <v>70</v>
      </c>
      <c r="U2" s="5" t="s">
        <v>71</v>
      </c>
      <c r="W2" s="5" t="s">
        <v>404</v>
      </c>
    </row>
    <row r="3" spans="1:23" s="5" customFormat="1">
      <c r="A3" s="4" t="s">
        <v>73</v>
      </c>
      <c r="D3" s="11"/>
      <c r="F3" s="11"/>
    </row>
    <row r="4" spans="1:23">
      <c r="L4" s="1"/>
      <c r="O4" s="1"/>
      <c r="R4" s="1"/>
    </row>
    <row r="5" spans="1:23">
      <c r="B5" s="3" t="s">
        <v>675</v>
      </c>
      <c r="D5" s="13">
        <v>150</v>
      </c>
      <c r="L5" s="8" t="b">
        <v>0</v>
      </c>
      <c r="O5" s="8" t="b">
        <v>0</v>
      </c>
      <c r="R5" s="8" t="b">
        <v>0</v>
      </c>
    </row>
    <row r="6" spans="1:23">
      <c r="B6" s="3" t="s">
        <v>676</v>
      </c>
      <c r="L6" s="8" t="b">
        <v>0</v>
      </c>
      <c r="O6" s="8" t="b">
        <v>0</v>
      </c>
      <c r="R6" s="8" t="b">
        <v>0</v>
      </c>
    </row>
    <row r="7" spans="1:23">
      <c r="A7" s="3" t="s">
        <v>677</v>
      </c>
      <c r="B7" s="3" t="s">
        <v>678</v>
      </c>
      <c r="L7" s="8" t="b">
        <v>0</v>
      </c>
      <c r="O7" s="8" t="b">
        <v>0</v>
      </c>
      <c r="R7" s="8" t="b">
        <v>0</v>
      </c>
    </row>
    <row r="8" spans="1:23">
      <c r="B8" s="3" t="s">
        <v>679</v>
      </c>
      <c r="L8" s="8" t="b">
        <v>0</v>
      </c>
      <c r="O8" s="8" t="b">
        <v>0</v>
      </c>
      <c r="R8" s="8" t="b">
        <v>0</v>
      </c>
    </row>
    <row r="9" spans="1:23">
      <c r="B9" s="3" t="s">
        <v>680</v>
      </c>
      <c r="C9" s="73" t="s">
        <v>681</v>
      </c>
      <c r="D9" s="13">
        <v>200</v>
      </c>
      <c r="F9" s="13">
        <v>1462.54</v>
      </c>
      <c r="H9" s="3" t="s">
        <v>6</v>
      </c>
      <c r="L9" s="8" t="b">
        <v>0</v>
      </c>
      <c r="O9" s="8" t="b">
        <v>0</v>
      </c>
      <c r="P9" s="10">
        <v>45905</v>
      </c>
      <c r="R9" s="8" t="b">
        <v>0</v>
      </c>
    </row>
    <row r="10" spans="1:23">
      <c r="B10" s="3" t="s">
        <v>682</v>
      </c>
      <c r="C10" s="72" t="s">
        <v>683</v>
      </c>
      <c r="H10" s="3" t="s">
        <v>6</v>
      </c>
      <c r="J10" s="10"/>
      <c r="L10" s="8" t="b">
        <v>0</v>
      </c>
      <c r="M10" s="10"/>
      <c r="O10" s="8" t="b">
        <v>0</v>
      </c>
      <c r="P10" s="10">
        <v>45905</v>
      </c>
      <c r="R10" s="8" t="b">
        <v>0</v>
      </c>
    </row>
    <row r="11" spans="1:23" ht="20.100000000000001">
      <c r="C11" s="70"/>
      <c r="L11" s="8" t="b">
        <v>0</v>
      </c>
      <c r="O11" s="8" t="b">
        <v>0</v>
      </c>
      <c r="R11" s="8" t="b">
        <v>0</v>
      </c>
    </row>
    <row r="12" spans="1:23" ht="17.649999999999999">
      <c r="C12" s="71"/>
      <c r="L12" s="8" t="b">
        <v>0</v>
      </c>
      <c r="M12" s="10"/>
      <c r="O12" s="8" t="b">
        <v>0</v>
      </c>
      <c r="P12" s="10"/>
      <c r="R12" s="8" t="b">
        <v>0</v>
      </c>
    </row>
    <row r="13" spans="1:23">
      <c r="A13" s="3" t="s">
        <v>684</v>
      </c>
      <c r="B13" s="3" t="s">
        <v>685</v>
      </c>
      <c r="L13" s="8" t="b">
        <v>0</v>
      </c>
      <c r="M13" s="10"/>
      <c r="O13" s="8" t="b">
        <v>0</v>
      </c>
      <c r="P13" s="10"/>
      <c r="R13" s="8" t="b">
        <v>0</v>
      </c>
    </row>
    <row r="14" spans="1:23">
      <c r="L14" s="1"/>
      <c r="O14" s="1"/>
      <c r="R14" s="1"/>
    </row>
    <row r="15" spans="1:23">
      <c r="A15" s="3" t="s">
        <v>301</v>
      </c>
      <c r="B15" s="3" t="s">
        <v>429</v>
      </c>
      <c r="D15" s="13">
        <v>500</v>
      </c>
      <c r="F15" s="13">
        <v>500</v>
      </c>
      <c r="H15" s="3" t="s">
        <v>48</v>
      </c>
      <c r="J15" s="10"/>
      <c r="L15" s="8" t="b">
        <v>0</v>
      </c>
      <c r="M15" s="10"/>
      <c r="O15" s="8" t="b">
        <v>0</v>
      </c>
      <c r="P15" s="10" t="s">
        <v>686</v>
      </c>
      <c r="R15" s="8" t="b">
        <v>0</v>
      </c>
    </row>
    <row r="16" spans="1:23">
      <c r="B16" s="3" t="s">
        <v>687</v>
      </c>
      <c r="J16" s="10"/>
      <c r="L16" s="8" t="b">
        <v>0</v>
      </c>
      <c r="M16" s="10"/>
      <c r="O16" s="8" t="b">
        <v>0</v>
      </c>
      <c r="P16" s="10"/>
      <c r="R16" s="8" t="b">
        <v>0</v>
      </c>
    </row>
    <row r="17" spans="1:18">
      <c r="B17" s="3" t="s">
        <v>688</v>
      </c>
      <c r="J17" s="10"/>
      <c r="L17" s="8" t="b">
        <v>0</v>
      </c>
      <c r="M17" s="10"/>
      <c r="O17" s="8" t="b">
        <v>0</v>
      </c>
      <c r="P17" s="10"/>
      <c r="R17" s="8" t="b">
        <v>0</v>
      </c>
    </row>
    <row r="18" spans="1:18">
      <c r="B18" s="3" t="s">
        <v>689</v>
      </c>
      <c r="J18" s="10"/>
      <c r="L18" s="8" t="b">
        <v>0</v>
      </c>
      <c r="M18" s="10"/>
      <c r="O18" s="8" t="b">
        <v>0</v>
      </c>
      <c r="P18" s="10"/>
      <c r="R18" s="8" t="b">
        <v>0</v>
      </c>
    </row>
    <row r="19" spans="1:18">
      <c r="J19" s="10"/>
      <c r="L19" s="8" t="b">
        <v>0</v>
      </c>
      <c r="M19" s="10"/>
      <c r="O19" s="8" t="b">
        <v>0</v>
      </c>
      <c r="P19" s="10"/>
      <c r="R19" s="8" t="b">
        <v>0</v>
      </c>
    </row>
    <row r="20" spans="1:18">
      <c r="A20" s="3" t="s">
        <v>366</v>
      </c>
      <c r="B20" s="3" t="s">
        <v>690</v>
      </c>
      <c r="D20" s="13">
        <v>800</v>
      </c>
      <c r="F20" s="13">
        <v>696.85</v>
      </c>
      <c r="H20" s="3" t="s">
        <v>8</v>
      </c>
      <c r="J20" s="10"/>
      <c r="L20" s="8" t="b">
        <v>0</v>
      </c>
      <c r="M20" s="10"/>
      <c r="O20" s="8" t="b">
        <v>0</v>
      </c>
      <c r="P20" s="10">
        <v>45904</v>
      </c>
      <c r="R20" s="8" t="b">
        <v>1</v>
      </c>
    </row>
    <row r="21" spans="1:18">
      <c r="B21" s="3" t="s">
        <v>691</v>
      </c>
      <c r="J21" s="10"/>
      <c r="L21" s="8" t="b">
        <v>0</v>
      </c>
      <c r="M21" s="10"/>
      <c r="O21" s="8" t="b">
        <v>0</v>
      </c>
      <c r="P21" s="10"/>
      <c r="R21" s="8" t="b">
        <v>0</v>
      </c>
    </row>
    <row r="22" spans="1:18">
      <c r="B22" s="3" t="s">
        <v>692</v>
      </c>
      <c r="J22" s="10"/>
      <c r="L22" s="8" t="b">
        <v>0</v>
      </c>
      <c r="M22" s="10"/>
      <c r="O22" s="8" t="b">
        <v>0</v>
      </c>
      <c r="P22" s="10"/>
      <c r="R22" s="8" t="b">
        <v>0</v>
      </c>
    </row>
    <row r="23" spans="1:18">
      <c r="J23" s="10"/>
      <c r="L23" s="8" t="b">
        <v>0</v>
      </c>
      <c r="M23" s="10"/>
      <c r="O23" s="8" t="b">
        <v>0</v>
      </c>
      <c r="P23" s="10"/>
      <c r="R23" s="8" t="b">
        <v>0</v>
      </c>
    </row>
    <row r="24" spans="1:18">
      <c r="J24" s="10"/>
      <c r="L24" s="1"/>
      <c r="M24" s="10"/>
      <c r="O24" s="1"/>
      <c r="P24" s="10"/>
      <c r="R24" s="1"/>
    </row>
    <row r="25" spans="1:18">
      <c r="A25" s="3" t="s">
        <v>407</v>
      </c>
      <c r="B25" s="3" t="s">
        <v>693</v>
      </c>
      <c r="D25" s="13">
        <v>15000</v>
      </c>
      <c r="F25" s="13">
        <v>15000</v>
      </c>
      <c r="H25" s="3" t="s">
        <v>694</v>
      </c>
      <c r="J25" s="10"/>
      <c r="L25" s="8" t="b">
        <v>0</v>
      </c>
      <c r="M25" s="10"/>
      <c r="O25" s="8" t="b">
        <v>0</v>
      </c>
      <c r="P25" s="10"/>
      <c r="R25" s="8" t="b">
        <v>1</v>
      </c>
    </row>
    <row r="26" spans="1:18">
      <c r="B26" s="3" t="s">
        <v>409</v>
      </c>
      <c r="J26" s="10"/>
      <c r="L26" s="8" t="b">
        <v>0</v>
      </c>
      <c r="M26" s="10"/>
      <c r="O26" s="8" t="b">
        <v>0</v>
      </c>
      <c r="P26" s="10"/>
      <c r="R26" s="8" t="b">
        <v>0</v>
      </c>
    </row>
    <row r="27" spans="1:18">
      <c r="B27" s="3" t="s">
        <v>410</v>
      </c>
      <c r="F27" s="13">
        <v>103.32</v>
      </c>
      <c r="H27" s="3" t="s">
        <v>695</v>
      </c>
      <c r="J27" s="10"/>
      <c r="L27" s="8" t="b">
        <v>0</v>
      </c>
      <c r="M27" s="10"/>
      <c r="O27" s="8" t="b">
        <v>0</v>
      </c>
      <c r="P27" s="10">
        <v>45904</v>
      </c>
      <c r="R27" s="8" t="b">
        <v>1</v>
      </c>
    </row>
    <row r="28" spans="1:18">
      <c r="B28" s="3" t="s">
        <v>696</v>
      </c>
      <c r="F28" s="13">
        <v>500.5</v>
      </c>
      <c r="H28" s="3" t="s">
        <v>138</v>
      </c>
      <c r="J28" s="10"/>
      <c r="L28" s="8" t="b">
        <v>0</v>
      </c>
      <c r="M28" s="10"/>
      <c r="O28" s="8" t="b">
        <v>0</v>
      </c>
      <c r="P28" s="10">
        <v>45887</v>
      </c>
      <c r="R28" s="8" t="b">
        <v>1</v>
      </c>
    </row>
    <row r="29" spans="1:18">
      <c r="J29" s="10"/>
      <c r="L29" s="1"/>
      <c r="M29" s="10"/>
      <c r="O29" s="1"/>
      <c r="P29" s="10"/>
      <c r="R29" s="1"/>
    </row>
    <row r="30" spans="1:18">
      <c r="A30" s="3" t="s">
        <v>411</v>
      </c>
      <c r="B30" s="3" t="s">
        <v>697</v>
      </c>
      <c r="D30" s="13">
        <v>5400</v>
      </c>
      <c r="F30" s="13">
        <v>2665</v>
      </c>
      <c r="H30" s="3" t="s">
        <v>413</v>
      </c>
      <c r="J30" s="10"/>
      <c r="L30" s="8" t="b">
        <v>0</v>
      </c>
      <c r="M30" s="10"/>
      <c r="O30" s="8" t="b">
        <v>0</v>
      </c>
      <c r="P30" s="10">
        <v>45905</v>
      </c>
      <c r="R30" s="8" t="b">
        <v>1</v>
      </c>
    </row>
    <row r="31" spans="1:18">
      <c r="B31" s="15" t="s">
        <v>698</v>
      </c>
      <c r="J31" s="10"/>
      <c r="L31" s="8" t="b">
        <v>0</v>
      </c>
      <c r="M31" s="10"/>
      <c r="O31" s="8" t="b">
        <v>0</v>
      </c>
      <c r="P31" s="10"/>
      <c r="R31" s="8" t="b">
        <v>0</v>
      </c>
    </row>
    <row r="32" spans="1:18">
      <c r="B32" s="3" t="s">
        <v>699</v>
      </c>
      <c r="J32" s="10"/>
      <c r="L32" s="1"/>
      <c r="M32" s="10"/>
      <c r="O32" s="1"/>
      <c r="P32" s="10"/>
      <c r="R32" s="1"/>
    </row>
    <row r="33" spans="1:18">
      <c r="C33"/>
      <c r="L33" s="9" t="b">
        <v>0</v>
      </c>
      <c r="O33" s="9" t="b">
        <v>0</v>
      </c>
      <c r="P33" s="10"/>
      <c r="R33" s="9" t="b">
        <v>0</v>
      </c>
    </row>
    <row r="34" spans="1:18">
      <c r="L34" s="9" t="b">
        <v>0</v>
      </c>
      <c r="M34" s="10"/>
      <c r="O34" s="9" t="b">
        <v>0</v>
      </c>
      <c r="P34" s="10"/>
      <c r="R34" s="9" t="b">
        <v>0</v>
      </c>
    </row>
    <row r="35" spans="1:18">
      <c r="L35" s="9" t="b">
        <v>0</v>
      </c>
      <c r="M35" s="10"/>
      <c r="O35" s="9" t="b">
        <v>0</v>
      </c>
      <c r="P35" s="10"/>
      <c r="R35" s="9" t="b">
        <v>0</v>
      </c>
    </row>
    <row r="36" spans="1:18">
      <c r="J36" s="10"/>
      <c r="L36" s="1"/>
      <c r="M36" s="10"/>
      <c r="O36" s="1"/>
      <c r="P36" s="10"/>
      <c r="R36" s="1"/>
    </row>
    <row r="37" spans="1:18">
      <c r="A37" s="3" t="s">
        <v>100</v>
      </c>
      <c r="B37" s="3" t="s">
        <v>700</v>
      </c>
      <c r="D37" s="13">
        <v>100</v>
      </c>
      <c r="H37" s="3" t="s">
        <v>701</v>
      </c>
      <c r="L37" s="8" t="b">
        <v>0</v>
      </c>
      <c r="O37" s="8" t="b">
        <v>0</v>
      </c>
      <c r="R37" s="8" t="b">
        <v>0</v>
      </c>
    </row>
    <row r="38" spans="1:18">
      <c r="L38" s="8" t="b">
        <v>0</v>
      </c>
      <c r="O38" s="8" t="b">
        <v>0</v>
      </c>
      <c r="P38" s="10"/>
      <c r="R38" s="8" t="b">
        <v>0</v>
      </c>
    </row>
    <row r="39" spans="1:18">
      <c r="L39" s="8" t="b">
        <v>0</v>
      </c>
      <c r="O39" s="8" t="b">
        <v>0</v>
      </c>
      <c r="P39" s="10"/>
      <c r="R39" s="8" t="b">
        <v>0</v>
      </c>
    </row>
    <row r="40" spans="1:18">
      <c r="L40" s="8" t="b">
        <v>0</v>
      </c>
      <c r="O40" s="8" t="b">
        <v>0</v>
      </c>
      <c r="P40" s="10"/>
      <c r="R40" s="8" t="b">
        <v>0</v>
      </c>
    </row>
    <row r="41" spans="1:18">
      <c r="L41" s="8" t="b">
        <v>0</v>
      </c>
      <c r="O41" s="8" t="b">
        <v>0</v>
      </c>
      <c r="P41" s="10"/>
      <c r="R41" s="8" t="b">
        <v>0</v>
      </c>
    </row>
    <row r="42" spans="1:18">
      <c r="L42" s="8" t="b">
        <v>0</v>
      </c>
      <c r="O42" s="8" t="b">
        <v>0</v>
      </c>
      <c r="R42" s="8" t="b">
        <v>0</v>
      </c>
    </row>
    <row r="43" spans="1:18">
      <c r="L43" s="8" t="b">
        <v>0</v>
      </c>
      <c r="O43" s="8" t="b">
        <v>0</v>
      </c>
      <c r="R43" s="8" t="b">
        <v>0</v>
      </c>
    </row>
    <row r="44" spans="1:18">
      <c r="L44" s="8" t="b">
        <v>0</v>
      </c>
      <c r="O44" s="8" t="b">
        <v>0</v>
      </c>
      <c r="R44" s="8" t="b">
        <v>0</v>
      </c>
    </row>
    <row r="45" spans="1:18">
      <c r="L45" s="1"/>
      <c r="O45" s="1"/>
      <c r="R45" s="1"/>
    </row>
    <row r="46" spans="1:18">
      <c r="B46" s="3" t="s">
        <v>702</v>
      </c>
      <c r="L46" s="8" t="b">
        <v>0</v>
      </c>
      <c r="O46" s="8" t="b">
        <v>0</v>
      </c>
      <c r="R46" s="8" t="b">
        <v>0</v>
      </c>
    </row>
    <row r="47" spans="1:18">
      <c r="L47" s="8" t="b">
        <v>0</v>
      </c>
      <c r="O47" s="8" t="b">
        <v>0</v>
      </c>
      <c r="R47" s="8" t="b">
        <v>0</v>
      </c>
    </row>
    <row r="48" spans="1:18">
      <c r="L48" s="8" t="b">
        <v>0</v>
      </c>
      <c r="O48" s="8" t="b">
        <v>0</v>
      </c>
      <c r="R48" s="8" t="b">
        <v>0</v>
      </c>
    </row>
    <row r="49" spans="2:18">
      <c r="B49" s="5" t="s">
        <v>509</v>
      </c>
      <c r="D49" s="13">
        <f>SUM(D6:D48)</f>
        <v>22000</v>
      </c>
      <c r="F49" s="13">
        <f>SUM(F6:F48)</f>
        <v>20928.21</v>
      </c>
      <c r="L49" s="8" t="b">
        <v>0</v>
      </c>
      <c r="O49" s="8" t="b">
        <v>0</v>
      </c>
      <c r="R49" s="8" t="b">
        <v>0</v>
      </c>
    </row>
    <row r="50" spans="2:18" s="5" customFormat="1">
      <c r="B50" s="3"/>
      <c r="C50" s="3"/>
      <c r="D50" s="13"/>
      <c r="F50" s="13"/>
      <c r="L50" s="8" t="b">
        <v>0</v>
      </c>
      <c r="O50" s="8" t="b">
        <v>0</v>
      </c>
      <c r="R50" s="8" t="b">
        <v>0</v>
      </c>
    </row>
    <row r="51" spans="2:18" s="5" customFormat="1">
      <c r="B51" s="3"/>
      <c r="C51" s="3"/>
      <c r="D51" s="13"/>
      <c r="F51" s="13"/>
      <c r="L51" s="8" t="b">
        <v>0</v>
      </c>
      <c r="O51" s="8" t="b">
        <v>0</v>
      </c>
      <c r="R51" s="8" t="b">
        <v>0</v>
      </c>
    </row>
    <row r="52" spans="2:18" s="5" customFormat="1">
      <c r="B52" s="3"/>
      <c r="C52" s="3"/>
      <c r="D52" s="13"/>
      <c r="F52" s="13"/>
      <c r="L52" s="8" t="b">
        <v>0</v>
      </c>
      <c r="O52" s="8" t="b">
        <v>0</v>
      </c>
      <c r="R52" s="8" t="b">
        <v>0</v>
      </c>
    </row>
    <row r="53" spans="2:18" s="5" customFormat="1">
      <c r="B53" s="3"/>
      <c r="C53" s="3"/>
      <c r="D53" s="13"/>
      <c r="F53" s="13"/>
      <c r="L53" s="8" t="b">
        <v>0</v>
      </c>
      <c r="O53" s="8" t="b">
        <v>0</v>
      </c>
      <c r="R53" s="8" t="b">
        <v>0</v>
      </c>
    </row>
    <row r="54" spans="2:18">
      <c r="L54" s="1"/>
      <c r="O54" s="1"/>
      <c r="R54" s="1"/>
    </row>
    <row r="55" spans="2:18">
      <c r="L55" s="2"/>
      <c r="O55" s="2"/>
      <c r="R55" s="2"/>
    </row>
    <row r="56" spans="2:18" s="5" customFormat="1">
      <c r="D56" s="11"/>
      <c r="F56" s="11"/>
      <c r="L56" s="14"/>
      <c r="O56" s="14"/>
      <c r="R56" s="14"/>
    </row>
    <row r="57" spans="2:18">
      <c r="B57" s="42"/>
      <c r="L57" s="2"/>
      <c r="O57" s="2"/>
      <c r="R57" s="2"/>
    </row>
    <row r="58" spans="2:18" s="5" customFormat="1">
      <c r="D58" s="11"/>
      <c r="F58" s="11"/>
      <c r="L58" s="4"/>
      <c r="O58" s="4"/>
      <c r="R58" s="4"/>
    </row>
    <row r="59" spans="2:18" s="5" customFormat="1">
      <c r="D59" s="11"/>
      <c r="F59" s="11"/>
      <c r="L59" s="4"/>
      <c r="O59" s="4"/>
      <c r="R59" s="4"/>
    </row>
    <row r="60" spans="2:18" s="5" customFormat="1">
      <c r="B60" s="3"/>
      <c r="C60" s="3"/>
      <c r="D60" s="13"/>
      <c r="F60" s="13"/>
      <c r="L60" s="1"/>
      <c r="O60" s="1"/>
      <c r="R60" s="1"/>
    </row>
    <row r="61" spans="2:18" s="5" customFormat="1">
      <c r="B61" s="3"/>
      <c r="C61" s="3"/>
      <c r="D61" s="13"/>
      <c r="F61" s="13"/>
      <c r="L61" s="1"/>
      <c r="O61" s="1"/>
      <c r="R61" s="1"/>
    </row>
    <row r="62" spans="2:18">
      <c r="L62" s="1"/>
      <c r="O62" s="1"/>
      <c r="R62" s="1"/>
    </row>
    <row r="63" spans="2:18">
      <c r="L63" s="1"/>
      <c r="O63" s="1"/>
      <c r="R63" s="1"/>
    </row>
    <row r="64" spans="2:18">
      <c r="L64" s="1"/>
      <c r="O64" s="1"/>
      <c r="R64" s="1"/>
    </row>
    <row r="65" spans="12:18">
      <c r="L65" s="1"/>
      <c r="O65" s="1"/>
      <c r="R65" s="1"/>
    </row>
    <row r="66" spans="12:18">
      <c r="L66" s="1"/>
      <c r="O66" s="1"/>
      <c r="R66" s="1"/>
    </row>
    <row r="67" spans="12:18">
      <c r="L67" s="1"/>
      <c r="O67" s="1"/>
      <c r="R67" s="1"/>
    </row>
    <row r="68" spans="12:18">
      <c r="L68" s="1"/>
      <c r="O68" s="1"/>
      <c r="R68" s="1"/>
    </row>
    <row r="69" spans="12:18">
      <c r="L69" s="1"/>
      <c r="O69" s="1"/>
      <c r="R69" s="1"/>
    </row>
    <row r="70" spans="12:18">
      <c r="L70" s="1"/>
      <c r="O70" s="1"/>
      <c r="R70" s="1"/>
    </row>
    <row r="71" spans="12:18">
      <c r="L71" s="1"/>
      <c r="O71" s="1"/>
      <c r="R71" s="1"/>
    </row>
    <row r="72" spans="12:18">
      <c r="L72" s="1"/>
      <c r="O72" s="1"/>
      <c r="R72" s="1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4E6F-0D91-4372-B3E9-2FF3C22830C0}">
  <dimension ref="A1:Q58"/>
  <sheetViews>
    <sheetView workbookViewId="0">
      <pane ySplit="2" topLeftCell="A25" activePane="bottomLeft" state="frozen"/>
      <selection pane="bottomLeft" activeCell="M15" sqref="M15"/>
    </sheetView>
  </sheetViews>
  <sheetFormatPr defaultColWidth="8.85546875" defaultRowHeight="15.95"/>
  <cols>
    <col min="1" max="1" width="14.140625" style="3" customWidth="1"/>
    <col min="2" max="2" width="42.85546875" style="3" customWidth="1"/>
    <col min="3" max="3" width="15.28515625" style="3" customWidth="1"/>
    <col min="4" max="4" width="14.5703125" style="13" customWidth="1"/>
    <col min="5" max="5" width="2.140625" style="3" customWidth="1"/>
    <col min="6" max="6" width="14.5703125" style="13" customWidth="1"/>
    <col min="7" max="7" width="2.140625" style="3" customWidth="1"/>
    <col min="8" max="8" width="26.5703125" style="3" customWidth="1"/>
    <col min="9" max="9" width="2.42578125" style="3" customWidth="1"/>
    <col min="10" max="10" width="13.7109375" style="3" customWidth="1"/>
    <col min="11" max="11" width="2.7109375" style="3" customWidth="1"/>
    <col min="12" max="12" width="6.85546875" style="3" customWidth="1"/>
    <col min="13" max="13" width="11.42578125" style="3" customWidth="1"/>
    <col min="14" max="14" width="2.42578125" style="3" customWidth="1"/>
    <col min="15" max="15" width="15.5703125" style="3" customWidth="1"/>
    <col min="16" max="16" width="3.140625" style="3" customWidth="1"/>
    <col min="17" max="17" width="31" style="3" customWidth="1"/>
    <col min="18" max="16384" width="8.85546875" style="3"/>
  </cols>
  <sheetData>
    <row r="1" spans="1:17" s="5" customFormat="1">
      <c r="A1" s="5" t="s">
        <v>402</v>
      </c>
      <c r="D1" s="11"/>
      <c r="F1" s="11"/>
      <c r="L1" s="4"/>
    </row>
    <row r="2" spans="1:17" s="5" customFormat="1" ht="47.65">
      <c r="B2" s="5" t="s">
        <v>703</v>
      </c>
      <c r="C2" s="5" t="s">
        <v>214</v>
      </c>
      <c r="D2" s="12" t="s">
        <v>111</v>
      </c>
      <c r="F2" s="12" t="s">
        <v>68</v>
      </c>
      <c r="H2" s="6" t="s">
        <v>5</v>
      </c>
      <c r="I2" s="6"/>
      <c r="J2" s="7" t="s">
        <v>69</v>
      </c>
      <c r="L2" s="17"/>
      <c r="M2" s="7" t="s">
        <v>70</v>
      </c>
      <c r="O2" s="5" t="s">
        <v>71</v>
      </c>
      <c r="Q2" s="5" t="s">
        <v>404</v>
      </c>
    </row>
    <row r="3" spans="1:17" s="5" customFormat="1">
      <c r="A3" s="4" t="s">
        <v>73</v>
      </c>
      <c r="D3" s="11"/>
      <c r="F3" s="11"/>
    </row>
    <row r="4" spans="1:17">
      <c r="L4" s="1"/>
    </row>
    <row r="5" spans="1:17">
      <c r="L5" s="8" t="b">
        <v>0</v>
      </c>
    </row>
    <row r="6" spans="1:17">
      <c r="B6" s="3" t="s">
        <v>676</v>
      </c>
      <c r="L6" s="8" t="b">
        <v>0</v>
      </c>
    </row>
    <row r="7" spans="1:17">
      <c r="A7" s="3" t="s">
        <v>677</v>
      </c>
      <c r="B7" s="3" t="s">
        <v>678</v>
      </c>
      <c r="L7" s="8" t="b">
        <v>0</v>
      </c>
    </row>
    <row r="8" spans="1:17">
      <c r="B8" s="3" t="s">
        <v>704</v>
      </c>
      <c r="C8" s="3" t="s">
        <v>705</v>
      </c>
      <c r="D8" s="13">
        <v>1250</v>
      </c>
      <c r="F8" s="13">
        <f>464.63*10%+464.63</f>
        <v>511.09300000000002</v>
      </c>
      <c r="H8" s="3" t="s">
        <v>7</v>
      </c>
      <c r="J8" s="10">
        <v>45911</v>
      </c>
      <c r="L8" s="8" t="b">
        <v>0</v>
      </c>
    </row>
    <row r="9" spans="1:17">
      <c r="B9" s="3" t="s">
        <v>206</v>
      </c>
      <c r="C9" s="3" t="s">
        <v>706</v>
      </c>
      <c r="F9" s="13">
        <f>542.05*10%+542.05</f>
        <v>596.255</v>
      </c>
      <c r="H9" s="3" t="s">
        <v>7</v>
      </c>
      <c r="J9" s="10">
        <v>45911</v>
      </c>
      <c r="L9" s="8" t="b">
        <v>0</v>
      </c>
    </row>
    <row r="10" spans="1:17">
      <c r="B10" s="3" t="s">
        <v>707</v>
      </c>
      <c r="L10" s="8" t="b">
        <v>0</v>
      </c>
    </row>
    <row r="11" spans="1:17">
      <c r="J11" s="10"/>
      <c r="L11" s="8" t="b">
        <v>0</v>
      </c>
    </row>
    <row r="12" spans="1:17">
      <c r="A12" s="3" t="s">
        <v>301</v>
      </c>
      <c r="B12" s="3" t="s">
        <v>429</v>
      </c>
      <c r="J12" s="10"/>
      <c r="L12" s="8" t="b">
        <v>0</v>
      </c>
    </row>
    <row r="13" spans="1:17">
      <c r="B13" s="3" t="s">
        <v>708</v>
      </c>
      <c r="J13" s="10"/>
      <c r="L13" s="8" t="b">
        <v>0</v>
      </c>
    </row>
    <row r="14" spans="1:17">
      <c r="B14" s="3" t="s">
        <v>709</v>
      </c>
      <c r="J14" s="10"/>
      <c r="L14" s="8" t="b">
        <v>0</v>
      </c>
    </row>
    <row r="15" spans="1:17">
      <c r="J15" s="10"/>
      <c r="L15" s="8" t="b">
        <v>0</v>
      </c>
    </row>
    <row r="16" spans="1:17">
      <c r="A16" s="3" t="s">
        <v>366</v>
      </c>
      <c r="B16" s="3" t="s">
        <v>710</v>
      </c>
      <c r="D16" s="13">
        <v>4400</v>
      </c>
      <c r="F16" s="13">
        <f>2961.94-F34</f>
        <v>2937.3321999999998</v>
      </c>
      <c r="H16" s="3" t="s">
        <v>8</v>
      </c>
      <c r="J16" s="10">
        <v>45911</v>
      </c>
      <c r="L16" s="8" t="b">
        <v>1</v>
      </c>
    </row>
    <row r="17" spans="1:12">
      <c r="B17" s="3" t="s">
        <v>711</v>
      </c>
      <c r="J17" s="10"/>
      <c r="L17" s="8" t="b">
        <v>0</v>
      </c>
    </row>
    <row r="18" spans="1:12">
      <c r="J18" s="10"/>
      <c r="L18" s="1"/>
    </row>
    <row r="19" spans="1:12">
      <c r="A19" s="3" t="s">
        <v>407</v>
      </c>
      <c r="B19" s="3" t="s">
        <v>408</v>
      </c>
      <c r="D19" s="13">
        <v>13000</v>
      </c>
      <c r="F19" s="13">
        <v>12900</v>
      </c>
      <c r="H19" s="3" t="s">
        <v>712</v>
      </c>
      <c r="J19" s="10"/>
      <c r="L19" s="8" t="b">
        <v>1</v>
      </c>
    </row>
    <row r="20" spans="1:12">
      <c r="B20" s="3" t="s">
        <v>409</v>
      </c>
      <c r="J20" s="10"/>
      <c r="L20" s="8" t="b">
        <v>0</v>
      </c>
    </row>
    <row r="21" spans="1:12">
      <c r="B21" s="3" t="s">
        <v>713</v>
      </c>
      <c r="F21" s="13">
        <v>259.52</v>
      </c>
      <c r="H21" s="3" t="s">
        <v>8</v>
      </c>
      <c r="J21" s="10">
        <v>45958</v>
      </c>
      <c r="L21" s="8" t="b">
        <v>1</v>
      </c>
    </row>
    <row r="22" spans="1:12">
      <c r="B22" s="3" t="s">
        <v>714</v>
      </c>
      <c r="J22" s="10"/>
      <c r="L22" s="8" t="b">
        <v>0</v>
      </c>
    </row>
    <row r="23" spans="1:12">
      <c r="B23" s="3" t="s">
        <v>715</v>
      </c>
      <c r="F23" s="13">
        <v>48.7</v>
      </c>
      <c r="H23" s="3" t="s">
        <v>12</v>
      </c>
      <c r="J23" s="10">
        <v>45958</v>
      </c>
      <c r="L23" s="8" t="b">
        <v>1</v>
      </c>
    </row>
    <row r="24" spans="1:12">
      <c r="J24" s="10"/>
      <c r="L24" s="1"/>
    </row>
    <row r="25" spans="1:12">
      <c r="A25" s="3" t="s">
        <v>411</v>
      </c>
      <c r="B25" s="3" t="s">
        <v>716</v>
      </c>
      <c r="D25" s="13">
        <v>8500</v>
      </c>
      <c r="F25" s="13">
        <v>4800</v>
      </c>
      <c r="H25" s="3" t="s">
        <v>413</v>
      </c>
      <c r="J25" s="10">
        <v>45909</v>
      </c>
      <c r="L25" s="8" t="b">
        <v>1</v>
      </c>
    </row>
    <row r="26" spans="1:12">
      <c r="B26" s="3" t="s">
        <v>717</v>
      </c>
      <c r="J26" s="10"/>
      <c r="L26" s="8" t="b">
        <v>0</v>
      </c>
    </row>
    <row r="27" spans="1:12">
      <c r="B27" s="3" t="s">
        <v>718</v>
      </c>
      <c r="J27" s="10"/>
      <c r="L27" s="1"/>
    </row>
    <row r="28" spans="1:12">
      <c r="L28" s="8" t="b">
        <v>0</v>
      </c>
    </row>
    <row r="29" spans="1:12">
      <c r="J29" s="10"/>
      <c r="L29" s="1"/>
    </row>
    <row r="30" spans="1:12">
      <c r="A30" s="3" t="s">
        <v>324</v>
      </c>
      <c r="B30" s="3" t="s">
        <v>719</v>
      </c>
      <c r="H30" s="3" t="s">
        <v>48</v>
      </c>
      <c r="L30" s="8" t="b">
        <v>0</v>
      </c>
    </row>
    <row r="31" spans="1:12">
      <c r="B31" s="3" t="s">
        <v>720</v>
      </c>
      <c r="J31" s="10"/>
      <c r="L31" s="8" t="b">
        <v>0</v>
      </c>
    </row>
    <row r="32" spans="1:12">
      <c r="J32" s="10"/>
      <c r="L32" s="8" t="b">
        <v>0</v>
      </c>
    </row>
    <row r="33" spans="1:12">
      <c r="J33" s="10"/>
      <c r="L33" s="8" t="b">
        <v>0</v>
      </c>
    </row>
    <row r="34" spans="1:12">
      <c r="A34" s="3" t="s">
        <v>721</v>
      </c>
      <c r="B34" s="3" t="s">
        <v>722</v>
      </c>
      <c r="F34" s="13">
        <f>22.68*8.5%+22.68</f>
        <v>24.607800000000001</v>
      </c>
      <c r="H34" s="3" t="s">
        <v>8</v>
      </c>
      <c r="J34" s="10">
        <v>45911</v>
      </c>
      <c r="L34" s="8" t="b">
        <v>0</v>
      </c>
    </row>
    <row r="35" spans="1:12">
      <c r="L35" s="8" t="b">
        <v>0</v>
      </c>
    </row>
    <row r="36" spans="1:12">
      <c r="L36" s="8" t="b">
        <v>0</v>
      </c>
    </row>
    <row r="37" spans="1:12">
      <c r="L37" s="1"/>
    </row>
    <row r="38" spans="1:12">
      <c r="A38" s="3" t="s">
        <v>96</v>
      </c>
      <c r="L38" s="8" t="b">
        <v>0</v>
      </c>
    </row>
    <row r="39" spans="1:12">
      <c r="L39" s="8" t="b">
        <v>0</v>
      </c>
    </row>
    <row r="40" spans="1:12">
      <c r="L40" s="1"/>
    </row>
    <row r="41" spans="1:12">
      <c r="L41" s="2"/>
    </row>
    <row r="42" spans="1:12" s="5" customFormat="1">
      <c r="B42" s="5" t="s">
        <v>509</v>
      </c>
      <c r="D42" s="11">
        <f>SUM(D6:D41)</f>
        <v>27150</v>
      </c>
      <c r="F42" s="11">
        <f>SUM(F6:F41)</f>
        <v>22077.508000000002</v>
      </c>
      <c r="H42" s="11"/>
      <c r="L42" s="14"/>
    </row>
    <row r="43" spans="1:12">
      <c r="B43" s="42"/>
      <c r="L43" s="2"/>
    </row>
    <row r="44" spans="1:12" s="5" customFormat="1">
      <c r="D44" s="11"/>
      <c r="F44" s="11"/>
      <c r="L44" s="4"/>
    </row>
    <row r="45" spans="1:12" s="5" customFormat="1">
      <c r="D45" s="11"/>
      <c r="F45" s="11"/>
      <c r="L45" s="4"/>
    </row>
    <row r="46" spans="1:12" s="5" customFormat="1">
      <c r="B46" s="3"/>
      <c r="C46" s="3"/>
      <c r="D46" s="13"/>
      <c r="F46" s="13"/>
      <c r="L46" s="1"/>
    </row>
    <row r="47" spans="1:12" s="5" customFormat="1">
      <c r="B47" s="3"/>
      <c r="C47" s="3"/>
      <c r="D47" s="13"/>
      <c r="F47" s="13"/>
      <c r="L47" s="1"/>
    </row>
    <row r="48" spans="1:12">
      <c r="L48" s="1"/>
    </row>
    <row r="49" spans="12:12">
      <c r="L49" s="1"/>
    </row>
    <row r="50" spans="12:12">
      <c r="L50" s="1"/>
    </row>
    <row r="51" spans="12:12">
      <c r="L51" s="1"/>
    </row>
    <row r="52" spans="12:12">
      <c r="L52" s="1"/>
    </row>
    <row r="53" spans="12:12">
      <c r="L53" s="1"/>
    </row>
    <row r="54" spans="12:12">
      <c r="L54" s="1"/>
    </row>
    <row r="55" spans="12:12">
      <c r="L55" s="1"/>
    </row>
    <row r="56" spans="12:12">
      <c r="L56" s="1"/>
    </row>
    <row r="57" spans="12:12">
      <c r="L57" s="1"/>
    </row>
    <row r="58" spans="12:12">
      <c r="L58" s="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19E5-CD79-4668-9B47-1F649EB694DF}">
  <dimension ref="A1:W63"/>
  <sheetViews>
    <sheetView workbookViewId="0">
      <pane ySplit="2" topLeftCell="A27" activePane="bottomLeft" state="frozen"/>
      <selection pane="bottomLeft" activeCell="D53" sqref="D53"/>
    </sheetView>
  </sheetViews>
  <sheetFormatPr defaultColWidth="8.85546875" defaultRowHeight="15.95"/>
  <cols>
    <col min="1" max="1" width="14.140625" style="3" customWidth="1"/>
    <col min="2" max="2" width="42.85546875" style="3" customWidth="1"/>
    <col min="3" max="3" width="15.28515625" style="3" customWidth="1"/>
    <col min="4" max="4" width="14.5703125" style="13" customWidth="1"/>
    <col min="5" max="5" width="2.140625" style="3" customWidth="1"/>
    <col min="6" max="6" width="14.5703125" style="13" customWidth="1"/>
    <col min="7" max="7" width="2.140625" style="3" customWidth="1"/>
    <col min="8" max="8" width="26.5703125" style="3" customWidth="1"/>
    <col min="9" max="9" width="2.42578125" style="3" customWidth="1"/>
    <col min="10" max="10" width="13.7109375" style="3" customWidth="1"/>
    <col min="11" max="11" width="2.42578125" style="3" customWidth="1"/>
    <col min="12" max="12" width="8.85546875" style="3"/>
    <col min="13" max="13" width="13.7109375" style="3" customWidth="1"/>
    <col min="14" max="14" width="2.7109375" style="3" customWidth="1"/>
    <col min="15" max="15" width="8.85546875" style="3"/>
    <col min="16" max="16" width="13.7109375" style="3" customWidth="1"/>
    <col min="17" max="17" width="2.7109375" style="3" customWidth="1"/>
    <col min="18" max="18" width="6.85546875" style="3" customWidth="1"/>
    <col min="19" max="19" width="11.42578125" style="3" customWidth="1"/>
    <col min="20" max="20" width="2.42578125" style="3" customWidth="1"/>
    <col min="21" max="21" width="15.5703125" style="3" customWidth="1"/>
    <col min="22" max="22" width="3.140625" style="3" customWidth="1"/>
    <col min="23" max="23" width="31" style="3" customWidth="1"/>
    <col min="24" max="16384" width="8.85546875" style="3"/>
  </cols>
  <sheetData>
    <row r="1" spans="1:23" s="5" customFormat="1">
      <c r="A1" s="5" t="s">
        <v>402</v>
      </c>
      <c r="D1" s="11"/>
      <c r="F1" s="11"/>
      <c r="L1" s="4"/>
      <c r="O1" s="4"/>
      <c r="R1" s="4"/>
    </row>
    <row r="2" spans="1:23" s="5" customFormat="1" ht="47.65">
      <c r="B2" s="5" t="s">
        <v>703</v>
      </c>
      <c r="C2" s="5" t="s">
        <v>214</v>
      </c>
      <c r="D2" s="12" t="s">
        <v>111</v>
      </c>
      <c r="F2" s="12" t="s">
        <v>68</v>
      </c>
      <c r="H2" s="6" t="s">
        <v>5</v>
      </c>
      <c r="I2" s="6"/>
      <c r="J2" s="7" t="s">
        <v>674</v>
      </c>
      <c r="K2" s="6"/>
      <c r="L2" s="17"/>
      <c r="M2" s="7" t="s">
        <v>193</v>
      </c>
      <c r="O2" s="17"/>
      <c r="P2" s="7" t="s">
        <v>69</v>
      </c>
      <c r="R2" s="17"/>
      <c r="S2" s="7" t="s">
        <v>70</v>
      </c>
      <c r="U2" s="5" t="s">
        <v>71</v>
      </c>
      <c r="W2" s="5" t="s">
        <v>404</v>
      </c>
    </row>
    <row r="3" spans="1:23" s="5" customFormat="1">
      <c r="A3" s="4" t="s">
        <v>73</v>
      </c>
      <c r="D3" s="11"/>
      <c r="F3" s="11"/>
    </row>
    <row r="4" spans="1:23">
      <c r="L4" s="1"/>
      <c r="O4" s="1"/>
      <c r="R4" s="1"/>
    </row>
    <row r="5" spans="1:23">
      <c r="B5" s="3" t="s">
        <v>675</v>
      </c>
      <c r="D5" s="13">
        <v>250</v>
      </c>
      <c r="L5" s="8" t="b">
        <v>0</v>
      </c>
      <c r="O5" s="8" t="b">
        <v>0</v>
      </c>
      <c r="R5" s="8" t="b">
        <v>0</v>
      </c>
    </row>
    <row r="6" spans="1:23">
      <c r="B6" s="3" t="s">
        <v>676</v>
      </c>
      <c r="L6" s="8" t="b">
        <v>0</v>
      </c>
      <c r="O6" s="8" t="b">
        <v>0</v>
      </c>
      <c r="R6" s="8" t="b">
        <v>0</v>
      </c>
    </row>
    <row r="7" spans="1:23">
      <c r="A7" s="3" t="s">
        <v>677</v>
      </c>
      <c r="B7" s="3" t="s">
        <v>678</v>
      </c>
      <c r="L7" s="8" t="b">
        <v>0</v>
      </c>
      <c r="O7" s="8" t="b">
        <v>0</v>
      </c>
      <c r="R7" s="8" t="b">
        <v>0</v>
      </c>
    </row>
    <row r="8" spans="1:23">
      <c r="B8" s="3" t="s">
        <v>679</v>
      </c>
      <c r="L8" s="8" t="b">
        <v>0</v>
      </c>
      <c r="O8" s="8" t="b">
        <v>0</v>
      </c>
      <c r="R8" s="8" t="b">
        <v>0</v>
      </c>
    </row>
    <row r="9" spans="1:23">
      <c r="B9" s="3" t="s">
        <v>723</v>
      </c>
      <c r="D9" s="13">
        <v>1000</v>
      </c>
      <c r="F9" s="13">
        <v>637.44000000000005</v>
      </c>
      <c r="H9" s="3" t="s">
        <v>6</v>
      </c>
      <c r="L9" s="8" t="b">
        <v>0</v>
      </c>
      <c r="M9" s="10"/>
      <c r="O9" s="8" t="b">
        <v>0</v>
      </c>
      <c r="P9" s="10">
        <v>45876</v>
      </c>
      <c r="R9" s="8" t="b">
        <v>0</v>
      </c>
    </row>
    <row r="10" spans="1:23">
      <c r="B10" s="3" t="s">
        <v>206</v>
      </c>
      <c r="L10" s="8" t="b">
        <v>0</v>
      </c>
      <c r="O10" s="8" t="b">
        <v>0</v>
      </c>
      <c r="R10" s="8" t="b">
        <v>0</v>
      </c>
    </row>
    <row r="11" spans="1:23">
      <c r="L11" s="8" t="b">
        <v>0</v>
      </c>
      <c r="M11" s="10"/>
      <c r="O11" s="8" t="b">
        <v>0</v>
      </c>
      <c r="P11" s="10"/>
      <c r="R11" s="8" t="b">
        <v>0</v>
      </c>
    </row>
    <row r="12" spans="1:23">
      <c r="A12" s="3" t="s">
        <v>684</v>
      </c>
      <c r="B12" s="3" t="s">
        <v>685</v>
      </c>
      <c r="L12" s="8" t="b">
        <v>0</v>
      </c>
      <c r="M12" s="10"/>
      <c r="O12" s="8" t="b">
        <v>0</v>
      </c>
      <c r="P12" s="10"/>
      <c r="R12" s="8" t="b">
        <v>0</v>
      </c>
    </row>
    <row r="13" spans="1:23">
      <c r="L13" s="1"/>
      <c r="O13" s="1"/>
      <c r="R13" s="1"/>
    </row>
    <row r="14" spans="1:23">
      <c r="A14" s="3" t="s">
        <v>301</v>
      </c>
      <c r="B14" s="3" t="s">
        <v>429</v>
      </c>
      <c r="D14" s="13">
        <v>200</v>
      </c>
      <c r="J14" s="10"/>
      <c r="L14" s="8" t="b">
        <v>0</v>
      </c>
      <c r="M14" s="10"/>
      <c r="O14" s="8" t="b">
        <v>0</v>
      </c>
      <c r="P14" s="10"/>
      <c r="R14" s="8" t="b">
        <v>0</v>
      </c>
    </row>
    <row r="15" spans="1:23">
      <c r="B15" s="3" t="s">
        <v>724</v>
      </c>
      <c r="J15" s="10"/>
      <c r="L15" s="8" t="b">
        <v>0</v>
      </c>
      <c r="M15" s="10"/>
      <c r="O15" s="8" t="b">
        <v>0</v>
      </c>
      <c r="P15" s="10"/>
      <c r="R15" s="8" t="b">
        <v>0</v>
      </c>
    </row>
    <row r="16" spans="1:23">
      <c r="B16" s="3" t="s">
        <v>725</v>
      </c>
      <c r="J16" s="10"/>
      <c r="L16" s="8" t="b">
        <v>0</v>
      </c>
      <c r="M16" s="10"/>
      <c r="O16" s="8" t="b">
        <v>0</v>
      </c>
      <c r="P16" s="10"/>
      <c r="R16" s="8" t="b">
        <v>0</v>
      </c>
    </row>
    <row r="17" spans="1:18">
      <c r="B17" s="3" t="s">
        <v>689</v>
      </c>
      <c r="J17" s="10"/>
      <c r="L17" s="8" t="b">
        <v>0</v>
      </c>
      <c r="M17" s="10"/>
      <c r="O17" s="8" t="b">
        <v>0</v>
      </c>
      <c r="P17" s="10"/>
      <c r="R17" s="8" t="b">
        <v>0</v>
      </c>
    </row>
    <row r="18" spans="1:18">
      <c r="B18" s="3" t="s">
        <v>726</v>
      </c>
      <c r="F18" s="13">
        <v>527.04</v>
      </c>
      <c r="H18" s="3" t="s">
        <v>381</v>
      </c>
      <c r="J18" s="10"/>
      <c r="L18" s="8" t="b">
        <v>0</v>
      </c>
      <c r="M18" s="10"/>
      <c r="O18" s="8" t="b">
        <v>0</v>
      </c>
      <c r="P18" s="10">
        <v>45895</v>
      </c>
      <c r="R18" s="8" t="b">
        <v>0</v>
      </c>
    </row>
    <row r="19" spans="1:18">
      <c r="B19" s="3" t="s">
        <v>727</v>
      </c>
      <c r="J19" s="10"/>
      <c r="L19" s="8" t="b">
        <v>0</v>
      </c>
      <c r="M19" s="10"/>
      <c r="O19" s="8" t="b">
        <v>0</v>
      </c>
      <c r="P19" s="10"/>
      <c r="R19" s="8" t="b">
        <v>0</v>
      </c>
    </row>
    <row r="20" spans="1:18">
      <c r="J20" s="10"/>
      <c r="L20" s="8" t="b">
        <v>0</v>
      </c>
      <c r="M20" s="10"/>
      <c r="O20" s="8" t="b">
        <v>0</v>
      </c>
      <c r="P20" s="10"/>
      <c r="R20" s="8" t="b">
        <v>0</v>
      </c>
    </row>
    <row r="21" spans="1:18">
      <c r="A21" s="3" t="s">
        <v>366</v>
      </c>
      <c r="B21" s="3" t="s">
        <v>728</v>
      </c>
      <c r="D21" s="13">
        <v>1300</v>
      </c>
      <c r="F21" s="13">
        <v>1548.62</v>
      </c>
      <c r="H21" s="3" t="s">
        <v>8</v>
      </c>
      <c r="J21" s="10"/>
      <c r="L21" s="8" t="b">
        <v>0</v>
      </c>
      <c r="M21" s="10"/>
      <c r="O21" s="8" t="b">
        <v>0</v>
      </c>
      <c r="P21" s="10">
        <v>45855</v>
      </c>
      <c r="R21" s="8" t="b">
        <v>0</v>
      </c>
    </row>
    <row r="22" spans="1:18">
      <c r="B22" s="3" t="s">
        <v>691</v>
      </c>
      <c r="J22" s="10"/>
      <c r="L22" s="8" t="b">
        <v>0</v>
      </c>
      <c r="M22" s="10"/>
      <c r="O22" s="8" t="b">
        <v>0</v>
      </c>
      <c r="P22" s="10"/>
      <c r="R22" s="8" t="b">
        <v>0</v>
      </c>
    </row>
    <row r="23" spans="1:18">
      <c r="B23" s="3" t="s">
        <v>729</v>
      </c>
      <c r="J23" s="10"/>
      <c r="L23" s="8" t="b">
        <v>0</v>
      </c>
      <c r="M23" s="10"/>
      <c r="O23" s="8" t="b">
        <v>0</v>
      </c>
      <c r="P23" s="10"/>
      <c r="R23" s="8" t="b">
        <v>0</v>
      </c>
    </row>
    <row r="24" spans="1:18">
      <c r="B24" s="3" t="s">
        <v>730</v>
      </c>
      <c r="J24" s="10"/>
      <c r="L24" s="8" t="b">
        <v>0</v>
      </c>
      <c r="M24" s="10"/>
      <c r="O24" s="8" t="b">
        <v>0</v>
      </c>
      <c r="P24" s="10"/>
      <c r="R24" s="8" t="b">
        <v>0</v>
      </c>
    </row>
    <row r="25" spans="1:18">
      <c r="B25" s="3" t="s">
        <v>731</v>
      </c>
      <c r="J25" s="10"/>
      <c r="L25" s="8" t="b">
        <v>0</v>
      </c>
      <c r="M25" s="10"/>
      <c r="O25" s="8" t="b">
        <v>0</v>
      </c>
      <c r="P25" s="10"/>
      <c r="R25" s="8" t="b">
        <v>0</v>
      </c>
    </row>
    <row r="26" spans="1:18">
      <c r="J26" s="10"/>
      <c r="L26" s="1"/>
      <c r="M26" s="10"/>
      <c r="O26" s="1"/>
      <c r="P26" s="10"/>
      <c r="R26" s="1"/>
    </row>
    <row r="27" spans="1:18">
      <c r="A27" s="3" t="s">
        <v>407</v>
      </c>
      <c r="B27" s="3" t="s">
        <v>693</v>
      </c>
      <c r="D27" s="13">
        <v>14500</v>
      </c>
      <c r="F27" s="13">
        <v>12760.03</v>
      </c>
      <c r="J27" s="10"/>
      <c r="L27" s="8" t="b">
        <v>0</v>
      </c>
      <c r="M27" s="10"/>
      <c r="O27" s="8" t="b">
        <v>0</v>
      </c>
      <c r="P27" s="10"/>
      <c r="R27" s="8" t="b">
        <v>1</v>
      </c>
    </row>
    <row r="28" spans="1:18">
      <c r="B28" s="3" t="s">
        <v>409</v>
      </c>
      <c r="J28" s="10"/>
      <c r="L28" s="8" t="b">
        <v>0</v>
      </c>
      <c r="M28" s="10"/>
      <c r="O28" s="8" t="b">
        <v>0</v>
      </c>
      <c r="P28" s="10"/>
      <c r="R28" s="8" t="b">
        <v>0</v>
      </c>
    </row>
    <row r="29" spans="1:18">
      <c r="B29" s="3" t="s">
        <v>732</v>
      </c>
      <c r="F29" s="13">
        <v>378.25</v>
      </c>
      <c r="H29" s="3" t="s">
        <v>733</v>
      </c>
      <c r="J29" s="10"/>
      <c r="L29" s="8" t="b">
        <v>0</v>
      </c>
      <c r="M29" s="10"/>
      <c r="O29" s="8" t="b">
        <v>0</v>
      </c>
      <c r="P29" s="10">
        <v>45890</v>
      </c>
      <c r="R29" s="8" t="b">
        <v>1</v>
      </c>
    </row>
    <row r="30" spans="1:18">
      <c r="J30" s="10"/>
      <c r="L30" s="8" t="b">
        <v>0</v>
      </c>
      <c r="M30" s="10"/>
      <c r="O30" s="8" t="b">
        <v>0</v>
      </c>
      <c r="P30" s="10"/>
      <c r="R30" s="8" t="b">
        <v>0</v>
      </c>
    </row>
    <row r="31" spans="1:18">
      <c r="J31" s="10"/>
      <c r="L31" s="1"/>
      <c r="M31" s="10"/>
      <c r="O31" s="1"/>
      <c r="P31" s="10"/>
      <c r="R31" s="1"/>
    </row>
    <row r="32" spans="1:18">
      <c r="A32" s="3" t="s">
        <v>411</v>
      </c>
      <c r="B32" s="3" t="s">
        <v>734</v>
      </c>
      <c r="F32" s="13">
        <v>5072</v>
      </c>
      <c r="H32" s="3" t="s">
        <v>413</v>
      </c>
      <c r="J32" s="10"/>
      <c r="L32" s="8" t="b">
        <v>0</v>
      </c>
      <c r="M32" s="10"/>
      <c r="O32" s="8" t="b">
        <v>0</v>
      </c>
      <c r="P32" s="10"/>
      <c r="R32" s="8" t="b">
        <v>0</v>
      </c>
    </row>
    <row r="33" spans="1:18">
      <c r="B33" s="3" t="s">
        <v>735</v>
      </c>
      <c r="J33" s="10"/>
      <c r="L33" s="8" t="b">
        <v>0</v>
      </c>
      <c r="M33" s="10"/>
      <c r="O33" s="8" t="b">
        <v>0</v>
      </c>
      <c r="P33" s="10"/>
      <c r="R33" s="8" t="b">
        <v>0</v>
      </c>
    </row>
    <row r="34" spans="1:18">
      <c r="B34" s="3" t="s">
        <v>736</v>
      </c>
      <c r="J34" s="10"/>
      <c r="L34" s="1"/>
      <c r="M34" s="10"/>
      <c r="O34" s="1"/>
      <c r="P34" s="10"/>
      <c r="R34" s="1"/>
    </row>
    <row r="35" spans="1:18">
      <c r="A35" s="3" t="s">
        <v>543</v>
      </c>
      <c r="B35" s="3" t="s">
        <v>737</v>
      </c>
      <c r="L35" s="1"/>
      <c r="O35" s="1"/>
      <c r="R35" s="8" t="b">
        <v>0</v>
      </c>
    </row>
    <row r="36" spans="1:18">
      <c r="J36" s="10"/>
      <c r="L36" s="8" t="b">
        <v>0</v>
      </c>
      <c r="M36" s="10"/>
      <c r="O36" s="8" t="b">
        <v>0</v>
      </c>
      <c r="P36" s="10"/>
      <c r="R36" s="8" t="b">
        <v>0</v>
      </c>
    </row>
    <row r="37" spans="1:18">
      <c r="B37" s="3" t="s">
        <v>738</v>
      </c>
      <c r="L37" s="9" t="b">
        <v>0</v>
      </c>
      <c r="O37" s="9" t="b">
        <v>0</v>
      </c>
      <c r="P37" s="10"/>
      <c r="R37" s="9" t="b">
        <v>0</v>
      </c>
    </row>
    <row r="38" spans="1:18">
      <c r="L38" s="9" t="b">
        <v>0</v>
      </c>
      <c r="M38" s="10"/>
      <c r="O38" s="9" t="b">
        <v>0</v>
      </c>
      <c r="P38" s="10"/>
      <c r="R38" s="9" t="b">
        <v>0</v>
      </c>
    </row>
    <row r="39" spans="1:18">
      <c r="L39" s="9" t="b">
        <v>0</v>
      </c>
      <c r="M39" s="10"/>
      <c r="O39" s="9" t="b">
        <v>0</v>
      </c>
      <c r="P39" s="10"/>
      <c r="R39" s="9" t="b">
        <v>0</v>
      </c>
    </row>
    <row r="40" spans="1:18">
      <c r="J40" s="10"/>
      <c r="L40" s="1"/>
      <c r="M40" s="10"/>
      <c r="O40" s="1"/>
      <c r="P40" s="10"/>
      <c r="R40" s="1"/>
    </row>
    <row r="41" spans="1:18" s="5" customFormat="1">
      <c r="B41" s="3"/>
      <c r="C41" s="3"/>
      <c r="D41" s="13"/>
      <c r="F41" s="13"/>
      <c r="L41" s="8" t="b">
        <v>0</v>
      </c>
      <c r="O41" s="8" t="b">
        <v>0</v>
      </c>
      <c r="R41" s="8" t="b">
        <v>0</v>
      </c>
    </row>
    <row r="42" spans="1:18" s="5" customFormat="1">
      <c r="B42" s="3"/>
      <c r="C42" s="3"/>
      <c r="D42" s="13"/>
      <c r="F42" s="13"/>
      <c r="L42" s="8" t="b">
        <v>0</v>
      </c>
      <c r="O42" s="8" t="b">
        <v>0</v>
      </c>
      <c r="R42" s="8" t="b">
        <v>0</v>
      </c>
    </row>
    <row r="43" spans="1:18" s="5" customFormat="1">
      <c r="B43" s="3"/>
      <c r="C43" s="3"/>
      <c r="D43" s="13"/>
      <c r="F43" s="13"/>
      <c r="L43" s="8" t="b">
        <v>0</v>
      </c>
      <c r="O43" s="8" t="b">
        <v>0</v>
      </c>
      <c r="R43" s="8" t="b">
        <v>0</v>
      </c>
    </row>
    <row r="44" spans="1:18" s="5" customFormat="1">
      <c r="B44" s="3"/>
      <c r="C44" s="3"/>
      <c r="D44" s="13"/>
      <c r="F44" s="13"/>
      <c r="L44" s="8" t="b">
        <v>0</v>
      </c>
      <c r="O44" s="8" t="b">
        <v>0</v>
      </c>
      <c r="R44" s="8" t="b">
        <v>0</v>
      </c>
    </row>
    <row r="45" spans="1:18">
      <c r="L45" s="1"/>
      <c r="O45" s="1"/>
      <c r="R45" s="1"/>
    </row>
    <row r="46" spans="1:18">
      <c r="L46" s="2"/>
      <c r="O46" s="2"/>
      <c r="R46" s="2"/>
    </row>
    <row r="47" spans="1:18" s="5" customFormat="1">
      <c r="B47" s="5" t="s">
        <v>509</v>
      </c>
      <c r="D47" s="11">
        <f>SUM(D6:D46)</f>
        <v>17000</v>
      </c>
      <c r="F47" s="11">
        <f>SUM(F6:F46)</f>
        <v>20923.38</v>
      </c>
      <c r="L47" s="14"/>
      <c r="O47" s="14"/>
      <c r="R47" s="14"/>
    </row>
    <row r="48" spans="1:18">
      <c r="B48" s="42"/>
      <c r="F48" s="13">
        <v>-17000</v>
      </c>
      <c r="L48" s="2"/>
      <c r="O48" s="2"/>
      <c r="R48" s="2"/>
    </row>
    <row r="49" spans="2:18" s="5" customFormat="1">
      <c r="B49" s="5" t="s">
        <v>739</v>
      </c>
      <c r="D49" s="11"/>
      <c r="F49" s="11">
        <f>SUM(F47:F48)</f>
        <v>3923.380000000001</v>
      </c>
      <c r="L49" s="4"/>
      <c r="O49" s="4"/>
      <c r="R49" s="4"/>
    </row>
    <row r="50" spans="2:18" s="5" customFormat="1">
      <c r="D50" s="11"/>
      <c r="F50" s="11"/>
      <c r="L50" s="4"/>
      <c r="O50" s="4"/>
      <c r="R50" s="4"/>
    </row>
    <row r="51" spans="2:18" s="5" customFormat="1">
      <c r="B51" s="3"/>
      <c r="C51" s="3"/>
      <c r="D51" s="13"/>
      <c r="F51" s="13"/>
      <c r="L51" s="1"/>
      <c r="O51" s="1"/>
      <c r="R51" s="1"/>
    </row>
    <row r="52" spans="2:18" s="5" customFormat="1">
      <c r="B52" s="3"/>
      <c r="C52" s="3"/>
      <c r="D52" s="13"/>
      <c r="F52" s="13"/>
      <c r="L52" s="1"/>
      <c r="O52" s="1"/>
      <c r="R52" s="1"/>
    </row>
    <row r="53" spans="2:18">
      <c r="L53" s="1"/>
      <c r="O53" s="1"/>
      <c r="R53" s="1"/>
    </row>
    <row r="54" spans="2:18">
      <c r="L54" s="1"/>
      <c r="O54" s="1"/>
      <c r="R54" s="1"/>
    </row>
    <row r="55" spans="2:18">
      <c r="L55" s="1"/>
      <c r="O55" s="1"/>
      <c r="R55" s="1"/>
    </row>
    <row r="56" spans="2:18">
      <c r="L56" s="1"/>
      <c r="O56" s="1"/>
      <c r="R56" s="1"/>
    </row>
    <row r="57" spans="2:18">
      <c r="L57" s="1"/>
      <c r="O57" s="1"/>
      <c r="R57" s="1"/>
    </row>
    <row r="58" spans="2:18">
      <c r="L58" s="1"/>
      <c r="O58" s="1"/>
      <c r="R58" s="1"/>
    </row>
    <row r="59" spans="2:18">
      <c r="L59" s="1"/>
      <c r="O59" s="1"/>
      <c r="R59" s="1"/>
    </row>
    <row r="60" spans="2:18">
      <c r="L60" s="1"/>
      <c r="O60" s="1"/>
      <c r="R60" s="1"/>
    </row>
    <row r="61" spans="2:18">
      <c r="L61" s="1"/>
      <c r="O61" s="1"/>
      <c r="R61" s="1"/>
    </row>
    <row r="62" spans="2:18">
      <c r="L62" s="1"/>
      <c r="O62" s="1"/>
      <c r="R62" s="1"/>
    </row>
    <row r="63" spans="2:18">
      <c r="L63" s="1"/>
      <c r="O63" s="1"/>
      <c r="R63" s="1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7017C-78F1-4BA1-8531-583A506CD33E}">
  <dimension ref="A1:W78"/>
  <sheetViews>
    <sheetView workbookViewId="0">
      <pane ySplit="2" topLeftCell="A47" activePane="bottomLeft" state="frozen"/>
      <selection pane="bottomLeft" activeCell="A26" sqref="A26:XFD26"/>
      <selection activeCell="C1" sqref="C1"/>
    </sheetView>
  </sheetViews>
  <sheetFormatPr defaultColWidth="8.85546875" defaultRowHeight="15.95"/>
  <cols>
    <col min="1" max="1" width="12.7109375" style="74" customWidth="1"/>
    <col min="2" max="2" width="8.85546875" style="74" bestFit="1" customWidth="1"/>
    <col min="3" max="3" width="30.28515625" style="74" customWidth="1"/>
    <col min="4" max="4" width="18.140625" style="76" customWidth="1"/>
    <col min="5" max="5" width="1.85546875" style="76" customWidth="1"/>
    <col min="6" max="6" width="20" style="76" customWidth="1"/>
    <col min="7" max="7" width="2.7109375" style="74" customWidth="1"/>
    <col min="8" max="8" width="26.5703125" style="74" customWidth="1"/>
    <col min="9" max="9" width="13" style="74" customWidth="1"/>
    <col min="10" max="10" width="13.7109375" style="74" customWidth="1"/>
    <col min="11" max="11" width="2.42578125" style="74" customWidth="1"/>
    <col min="12" max="12" width="8.85546875" style="74" bestFit="1" customWidth="1"/>
    <col min="13" max="13" width="13.7109375" style="74" customWidth="1"/>
    <col min="14" max="14" width="2.7109375" style="74" customWidth="1"/>
    <col min="15" max="15" width="8.85546875" style="74" bestFit="1" customWidth="1"/>
    <col min="16" max="16" width="13.7109375" style="74" customWidth="1"/>
    <col min="17" max="17" width="2.7109375" style="74" customWidth="1"/>
    <col min="18" max="18" width="8.85546875" style="74" bestFit="1" customWidth="1"/>
    <col min="19" max="19" width="11.42578125" style="74" customWidth="1"/>
    <col min="20" max="20" width="2.140625" style="74" customWidth="1"/>
    <col min="21" max="21" width="8.85546875" style="74" bestFit="1" customWidth="1"/>
    <col min="22" max="22" width="11.42578125" style="74" customWidth="1"/>
    <col min="23" max="23" width="32.5703125" style="74" customWidth="1"/>
    <col min="24" max="24" width="21.42578125" style="74" customWidth="1"/>
    <col min="25" max="16384" width="8.85546875" style="74"/>
  </cols>
  <sheetData>
    <row r="1" spans="1:23" s="75" customFormat="1">
      <c r="A1" s="77" t="s">
        <v>560</v>
      </c>
      <c r="D1" s="78"/>
      <c r="E1" s="78"/>
      <c r="F1" s="78"/>
      <c r="L1" s="77"/>
      <c r="O1" s="77"/>
      <c r="R1" s="77"/>
      <c r="U1" s="77"/>
    </row>
    <row r="2" spans="1:23" s="75" customFormat="1" ht="47.65">
      <c r="B2" s="77"/>
      <c r="D2" s="79" t="s">
        <v>67</v>
      </c>
      <c r="E2" s="79"/>
      <c r="F2" s="79" t="s">
        <v>68</v>
      </c>
      <c r="G2" s="80"/>
      <c r="H2" s="80" t="s">
        <v>5</v>
      </c>
      <c r="I2" s="80" t="s">
        <v>1</v>
      </c>
      <c r="J2" s="81" t="s">
        <v>591</v>
      </c>
      <c r="K2" s="80"/>
      <c r="L2" s="82"/>
      <c r="M2" s="81" t="s">
        <v>193</v>
      </c>
      <c r="O2" s="82"/>
      <c r="P2" s="81" t="s">
        <v>69</v>
      </c>
      <c r="R2" s="82"/>
      <c r="S2" s="81" t="s">
        <v>70</v>
      </c>
      <c r="U2" s="82"/>
      <c r="V2" s="81" t="s">
        <v>71</v>
      </c>
      <c r="W2" s="80" t="s">
        <v>72</v>
      </c>
    </row>
    <row r="3" spans="1:23" s="75" customFormat="1">
      <c r="A3" s="77" t="s">
        <v>73</v>
      </c>
      <c r="D3" s="78"/>
      <c r="E3" s="78"/>
      <c r="F3" s="78"/>
    </row>
    <row r="4" spans="1:23">
      <c r="B4" s="83"/>
      <c r="L4" s="83"/>
      <c r="O4" s="83"/>
      <c r="R4" s="83"/>
      <c r="U4" s="83"/>
    </row>
    <row r="5" spans="1:23">
      <c r="A5" s="84"/>
      <c r="B5" s="84"/>
      <c r="C5" s="84"/>
      <c r="D5" s="76">
        <v>150</v>
      </c>
      <c r="F5" s="76">
        <v>-150</v>
      </c>
      <c r="H5" s="74" t="s">
        <v>740</v>
      </c>
      <c r="L5" s="83"/>
      <c r="O5" s="83"/>
      <c r="R5" s="83"/>
      <c r="U5" s="83"/>
    </row>
    <row r="6" spans="1:23">
      <c r="A6" s="84"/>
      <c r="B6" s="84"/>
      <c r="C6" s="84"/>
      <c r="L6" s="85" t="b">
        <v>0</v>
      </c>
      <c r="O6" s="85" t="b">
        <v>0</v>
      </c>
      <c r="R6" s="85" t="b">
        <v>0</v>
      </c>
      <c r="U6" s="85" t="b">
        <v>0</v>
      </c>
    </row>
    <row r="7" spans="1:23">
      <c r="A7" s="84"/>
      <c r="B7" s="84"/>
      <c r="C7" s="84"/>
      <c r="L7" s="85" t="b">
        <v>0</v>
      </c>
      <c r="O7" s="85" t="b">
        <v>0</v>
      </c>
      <c r="P7" s="86"/>
      <c r="R7" s="85" t="b">
        <v>0</v>
      </c>
      <c r="U7" s="85" t="b">
        <v>0</v>
      </c>
    </row>
    <row r="8" spans="1:23">
      <c r="A8" s="84" t="s">
        <v>563</v>
      </c>
      <c r="B8" s="84"/>
      <c r="C8" s="84"/>
      <c r="F8" s="76">
        <v>1809.66</v>
      </c>
      <c r="H8" s="74" t="s">
        <v>6</v>
      </c>
      <c r="L8" s="85" t="b">
        <v>0</v>
      </c>
      <c r="M8" s="86"/>
      <c r="O8" s="85" t="b">
        <v>0</v>
      </c>
      <c r="P8" s="86">
        <v>45874</v>
      </c>
      <c r="R8" s="85" t="b">
        <v>1</v>
      </c>
      <c r="S8" s="86"/>
      <c r="U8" s="85" t="b">
        <v>0</v>
      </c>
    </row>
    <row r="9" spans="1:23">
      <c r="A9" s="84"/>
      <c r="B9" s="84"/>
      <c r="C9" s="84"/>
      <c r="H9" s="74" t="s">
        <v>6</v>
      </c>
      <c r="I9" s="74" t="s">
        <v>741</v>
      </c>
      <c r="L9" s="85" t="b">
        <v>0</v>
      </c>
      <c r="M9" s="86"/>
      <c r="O9" s="85" t="b">
        <v>0</v>
      </c>
      <c r="P9" s="86"/>
      <c r="R9" s="85" t="b">
        <v>0</v>
      </c>
      <c r="S9" s="86"/>
      <c r="U9" s="85" t="b">
        <v>0</v>
      </c>
    </row>
    <row r="10" spans="1:23">
      <c r="A10" s="84" t="s">
        <v>742</v>
      </c>
      <c r="B10" s="84"/>
      <c r="C10" s="84"/>
      <c r="D10" s="76">
        <v>400</v>
      </c>
      <c r="F10" s="76">
        <v>266.27999999999997</v>
      </c>
      <c r="H10" s="74" t="s">
        <v>12</v>
      </c>
      <c r="I10" s="74" t="s">
        <v>743</v>
      </c>
      <c r="L10" s="85" t="b">
        <v>0</v>
      </c>
      <c r="M10" s="86">
        <v>45862</v>
      </c>
      <c r="O10" s="85" t="b">
        <v>1</v>
      </c>
      <c r="P10" s="86">
        <v>45874</v>
      </c>
      <c r="R10" s="85" t="b">
        <v>1</v>
      </c>
      <c r="S10" s="86"/>
      <c r="U10" s="85" t="b">
        <v>0</v>
      </c>
    </row>
    <row r="11" spans="1:23">
      <c r="A11" s="84" t="s">
        <v>744</v>
      </c>
      <c r="B11" s="84"/>
      <c r="C11" s="84"/>
      <c r="D11" s="76">
        <v>2200</v>
      </c>
      <c r="F11" s="76">
        <f>2741.28+457+890-1347</f>
        <v>2741.28</v>
      </c>
      <c r="H11" s="74" t="s">
        <v>745</v>
      </c>
      <c r="I11" s="74" t="s">
        <v>746</v>
      </c>
      <c r="J11" s="86"/>
      <c r="L11" s="85" t="b">
        <v>0</v>
      </c>
      <c r="M11" s="86"/>
      <c r="O11" s="85" t="b">
        <v>0</v>
      </c>
      <c r="P11" s="86">
        <v>45880</v>
      </c>
      <c r="R11" s="85" t="b">
        <v>0</v>
      </c>
      <c r="S11" s="86"/>
      <c r="U11" s="85" t="b">
        <v>0</v>
      </c>
    </row>
    <row r="12" spans="1:23">
      <c r="A12" s="84"/>
      <c r="B12" s="84"/>
      <c r="C12" s="84"/>
      <c r="L12" s="85" t="b">
        <v>0</v>
      </c>
      <c r="M12" s="86"/>
      <c r="O12" s="85" t="b">
        <v>0</v>
      </c>
      <c r="P12" s="86"/>
      <c r="R12" s="85" t="b">
        <v>0</v>
      </c>
      <c r="S12" s="86"/>
      <c r="U12" s="85" t="b">
        <v>0</v>
      </c>
    </row>
    <row r="13" spans="1:23">
      <c r="A13" s="84"/>
      <c r="B13" s="84"/>
      <c r="C13" s="84"/>
      <c r="J13" s="86"/>
      <c r="L13" s="85" t="b">
        <v>0</v>
      </c>
      <c r="M13" s="86"/>
      <c r="O13" s="85" t="b">
        <v>0</v>
      </c>
      <c r="P13" s="86"/>
      <c r="R13" s="85" t="b">
        <v>0</v>
      </c>
      <c r="S13" s="86"/>
      <c r="U13" s="85" t="b">
        <v>0</v>
      </c>
    </row>
    <row r="14" spans="1:23">
      <c r="A14" s="84" t="s">
        <v>747</v>
      </c>
      <c r="B14" s="84"/>
      <c r="C14" s="84"/>
      <c r="D14" s="76">
        <v>500</v>
      </c>
      <c r="F14" s="76">
        <v>420.01</v>
      </c>
      <c r="H14" s="74" t="s">
        <v>381</v>
      </c>
      <c r="L14" s="85" t="b">
        <v>0</v>
      </c>
      <c r="M14" s="86"/>
      <c r="O14" s="85" t="b">
        <v>0</v>
      </c>
      <c r="P14" s="86">
        <v>45874</v>
      </c>
      <c r="R14" s="85" t="b">
        <v>1</v>
      </c>
      <c r="U14" s="85" t="b">
        <v>0</v>
      </c>
    </row>
    <row r="15" spans="1:23" ht="18.399999999999999">
      <c r="A15" s="84" t="s">
        <v>325</v>
      </c>
      <c r="B15" s="84"/>
      <c r="C15" s="84"/>
      <c r="D15" s="76">
        <v>350</v>
      </c>
      <c r="H15" s="74" t="s">
        <v>6</v>
      </c>
      <c r="I15" s="95" t="e" vm="1">
        <v>#VALUE!</v>
      </c>
      <c r="L15" s="83"/>
      <c r="O15" s="83"/>
    </row>
    <row r="16" spans="1:23">
      <c r="A16" s="84"/>
      <c r="B16" s="84"/>
      <c r="C16" s="84"/>
      <c r="L16" s="87"/>
      <c r="O16" s="87"/>
      <c r="R16" s="87"/>
      <c r="U16" s="87"/>
    </row>
    <row r="17" spans="1:21">
      <c r="A17" s="84"/>
      <c r="B17" s="84"/>
      <c r="C17" s="84"/>
      <c r="L17" s="87"/>
      <c r="O17" s="87"/>
      <c r="R17" s="87"/>
      <c r="U17" s="87"/>
    </row>
    <row r="18" spans="1:21">
      <c r="A18" s="84" t="s">
        <v>407</v>
      </c>
      <c r="B18" s="84"/>
      <c r="C18" s="84"/>
      <c r="D18" s="76">
        <v>1500</v>
      </c>
      <c r="F18" s="76">
        <v>1541.61</v>
      </c>
      <c r="H18" s="74" t="s">
        <v>748</v>
      </c>
      <c r="L18" s="85" t="b">
        <v>0</v>
      </c>
      <c r="M18" s="86"/>
      <c r="O18" s="85" t="b">
        <v>0</v>
      </c>
      <c r="P18" s="86">
        <v>45867</v>
      </c>
      <c r="R18" s="85" t="b">
        <v>1</v>
      </c>
      <c r="U18" s="85" t="b">
        <v>0</v>
      </c>
    </row>
    <row r="19" spans="1:21">
      <c r="A19" s="84" t="s">
        <v>411</v>
      </c>
      <c r="B19" s="84"/>
      <c r="C19" s="84"/>
      <c r="F19" s="76">
        <v>1008</v>
      </c>
      <c r="H19" s="74" t="s">
        <v>413</v>
      </c>
      <c r="L19" s="85" t="b">
        <v>0</v>
      </c>
      <c r="M19" s="86"/>
      <c r="O19" s="85" t="b">
        <v>0</v>
      </c>
      <c r="P19" s="86"/>
      <c r="R19" s="85" t="b">
        <v>0</v>
      </c>
      <c r="U19" s="85" t="b">
        <v>0</v>
      </c>
    </row>
    <row r="20" spans="1:21">
      <c r="A20" s="84"/>
      <c r="B20" s="84"/>
      <c r="C20" s="84"/>
      <c r="L20" s="83"/>
      <c r="M20" s="86"/>
      <c r="O20" s="83"/>
      <c r="R20" s="83"/>
      <c r="U20" s="83"/>
    </row>
    <row r="21" spans="1:21">
      <c r="A21" s="84" t="s">
        <v>749</v>
      </c>
      <c r="B21" s="84"/>
      <c r="C21" s="84"/>
      <c r="D21" s="76">
        <v>350</v>
      </c>
      <c r="F21" s="76">
        <v>151.54</v>
      </c>
      <c r="H21" s="74" t="s">
        <v>12</v>
      </c>
      <c r="L21" s="85" t="b">
        <v>0</v>
      </c>
      <c r="M21" s="86">
        <v>45862</v>
      </c>
      <c r="O21" s="85" t="b">
        <v>1</v>
      </c>
      <c r="P21" s="86">
        <v>45874</v>
      </c>
      <c r="R21" s="85" t="b">
        <v>1</v>
      </c>
      <c r="U21" s="85" t="b">
        <v>0</v>
      </c>
    </row>
    <row r="22" spans="1:21">
      <c r="A22" s="84"/>
      <c r="B22" s="84"/>
      <c r="C22" s="84"/>
      <c r="L22" s="83"/>
      <c r="M22" s="86"/>
      <c r="O22" s="83"/>
      <c r="R22" s="83"/>
      <c r="U22" s="83"/>
    </row>
    <row r="23" spans="1:21">
      <c r="A23" s="84" t="s">
        <v>750</v>
      </c>
      <c r="B23" s="84"/>
      <c r="C23" s="84"/>
      <c r="F23" s="76">
        <v>49.88</v>
      </c>
      <c r="H23" s="74" t="s">
        <v>8</v>
      </c>
      <c r="L23" s="85" t="b">
        <v>0</v>
      </c>
      <c r="M23" s="86"/>
      <c r="O23" s="85" t="b">
        <v>0</v>
      </c>
      <c r="P23" s="86">
        <v>45876</v>
      </c>
      <c r="R23" s="85" t="b">
        <v>0</v>
      </c>
      <c r="U23" s="85" t="b">
        <v>0</v>
      </c>
    </row>
    <row r="24" spans="1:21">
      <c r="A24" s="84" t="s">
        <v>751</v>
      </c>
      <c r="B24" s="84"/>
      <c r="C24" s="84"/>
      <c r="F24" s="76">
        <v>16.29</v>
      </c>
      <c r="H24" s="74" t="s">
        <v>8</v>
      </c>
      <c r="L24" s="85" t="b">
        <v>0</v>
      </c>
      <c r="M24" s="86"/>
      <c r="O24" s="85" t="b">
        <v>0</v>
      </c>
      <c r="P24" s="86"/>
      <c r="R24" s="85" t="b">
        <v>0</v>
      </c>
      <c r="U24" s="85" t="b">
        <v>0</v>
      </c>
    </row>
    <row r="25" spans="1:21">
      <c r="A25" s="84"/>
      <c r="B25" s="84"/>
      <c r="C25" s="84"/>
      <c r="L25" s="85" t="b">
        <v>0</v>
      </c>
      <c r="M25" s="86"/>
      <c r="O25" s="85" t="b">
        <v>0</v>
      </c>
      <c r="R25" s="85" t="b">
        <v>0</v>
      </c>
      <c r="U25" s="85" t="b">
        <v>0</v>
      </c>
    </row>
    <row r="26" spans="1:21" s="3" customFormat="1">
      <c r="A26" s="20" t="s">
        <v>752</v>
      </c>
      <c r="B26" s="20"/>
      <c r="C26" s="20"/>
      <c r="D26" s="13"/>
      <c r="E26" s="13"/>
      <c r="F26" s="13">
        <v>124.29</v>
      </c>
      <c r="H26" s="3" t="s">
        <v>6</v>
      </c>
      <c r="L26" s="1"/>
      <c r="M26" s="10"/>
      <c r="O26" s="1"/>
      <c r="R26" s="1"/>
      <c r="U26" s="1"/>
    </row>
    <row r="27" spans="1:21">
      <c r="A27" s="84"/>
      <c r="B27" s="84"/>
      <c r="C27" s="84"/>
      <c r="L27" s="85" t="b">
        <v>0</v>
      </c>
      <c r="M27" s="86"/>
      <c r="O27" s="85" t="b">
        <v>0</v>
      </c>
      <c r="R27" s="85" t="b">
        <v>0</v>
      </c>
      <c r="U27" s="85" t="b">
        <v>0</v>
      </c>
    </row>
    <row r="28" spans="1:21">
      <c r="A28" s="84"/>
      <c r="B28" s="84"/>
      <c r="C28" s="84"/>
      <c r="L28" s="83"/>
      <c r="M28" s="86"/>
      <c r="O28" s="83"/>
      <c r="R28" s="83"/>
      <c r="U28" s="83"/>
    </row>
    <row r="29" spans="1:21">
      <c r="A29" s="84"/>
      <c r="B29" s="84"/>
      <c r="C29" s="84"/>
      <c r="L29" s="83"/>
      <c r="M29" s="86"/>
      <c r="O29" s="83"/>
      <c r="R29" s="83"/>
      <c r="U29" s="83"/>
    </row>
    <row r="30" spans="1:21">
      <c r="A30" s="84"/>
      <c r="B30" s="84"/>
      <c r="C30" s="84"/>
      <c r="L30" s="83"/>
      <c r="M30" s="86"/>
      <c r="O30" s="83"/>
      <c r="R30" s="83"/>
      <c r="U30" s="83"/>
    </row>
    <row r="31" spans="1:21">
      <c r="A31" s="84"/>
      <c r="B31" s="84"/>
      <c r="C31" s="84"/>
      <c r="L31" s="87"/>
      <c r="O31" s="87"/>
      <c r="R31" s="87"/>
      <c r="U31" s="87"/>
    </row>
    <row r="32" spans="1:21">
      <c r="A32" s="84" t="s">
        <v>753</v>
      </c>
      <c r="B32" s="84"/>
      <c r="C32" s="84"/>
      <c r="D32" s="76">
        <f>3698-1200</f>
        <v>2498</v>
      </c>
      <c r="L32" s="83"/>
      <c r="M32" s="86"/>
      <c r="O32" s="83"/>
      <c r="R32" s="83"/>
      <c r="U32" s="83"/>
    </row>
    <row r="33" spans="1:23">
      <c r="A33" s="84" t="s">
        <v>411</v>
      </c>
      <c r="B33" s="84"/>
      <c r="C33" s="84"/>
      <c r="F33" s="76">
        <v>540</v>
      </c>
      <c r="L33" s="85" t="b">
        <v>0</v>
      </c>
      <c r="M33" s="86"/>
      <c r="O33" s="85" t="b">
        <v>0</v>
      </c>
      <c r="P33" s="86"/>
      <c r="R33" s="85" t="b">
        <v>0</v>
      </c>
      <c r="U33" s="85" t="b">
        <v>0</v>
      </c>
    </row>
    <row r="34" spans="1:23">
      <c r="A34" s="84" t="s">
        <v>563</v>
      </c>
      <c r="B34" s="84"/>
      <c r="C34" s="84"/>
      <c r="H34" s="74" t="s">
        <v>6</v>
      </c>
      <c r="I34" s="74" t="s">
        <v>754</v>
      </c>
      <c r="L34" s="85" t="b">
        <v>0</v>
      </c>
      <c r="M34" s="86"/>
      <c r="O34" s="85" t="b">
        <v>0</v>
      </c>
      <c r="P34" s="86"/>
      <c r="R34" s="85" t="b">
        <v>0</v>
      </c>
      <c r="S34" s="86"/>
      <c r="U34" s="85" t="b">
        <v>0</v>
      </c>
    </row>
    <row r="35" spans="1:23">
      <c r="A35" s="84"/>
      <c r="B35" s="84"/>
      <c r="C35" s="84"/>
      <c r="H35" s="74" t="s">
        <v>6</v>
      </c>
      <c r="I35" s="74" t="s">
        <v>741</v>
      </c>
      <c r="L35" s="85" t="b">
        <v>0</v>
      </c>
      <c r="M35" s="86"/>
      <c r="O35" s="85" t="b">
        <v>0</v>
      </c>
      <c r="P35" s="86"/>
      <c r="R35" s="85" t="b">
        <v>0</v>
      </c>
      <c r="S35" s="86"/>
      <c r="U35" s="85" t="b">
        <v>0</v>
      </c>
    </row>
    <row r="36" spans="1:23">
      <c r="A36" s="84" t="s">
        <v>755</v>
      </c>
      <c r="B36" s="84"/>
      <c r="C36" s="84"/>
      <c r="F36" s="76">
        <v>435</v>
      </c>
      <c r="L36" s="85" t="b">
        <v>0</v>
      </c>
      <c r="M36" s="86"/>
      <c r="O36" s="85" t="b">
        <v>0</v>
      </c>
      <c r="P36" s="86"/>
      <c r="R36" s="85" t="b">
        <v>0</v>
      </c>
      <c r="U36" s="85" t="b">
        <v>0</v>
      </c>
    </row>
    <row r="37" spans="1:23">
      <c r="A37" s="84" t="s">
        <v>563</v>
      </c>
      <c r="B37" s="84"/>
      <c r="C37" s="84"/>
      <c r="H37" s="74" t="s">
        <v>6</v>
      </c>
      <c r="I37" s="74" t="s">
        <v>754</v>
      </c>
      <c r="L37" s="85" t="b">
        <v>0</v>
      </c>
      <c r="M37" s="86"/>
      <c r="O37" s="85" t="b">
        <v>0</v>
      </c>
      <c r="P37" s="86"/>
      <c r="R37" s="85" t="b">
        <v>0</v>
      </c>
      <c r="S37" s="86"/>
      <c r="U37" s="85" t="b">
        <v>0</v>
      </c>
    </row>
    <row r="38" spans="1:23">
      <c r="A38" s="84"/>
      <c r="B38" s="84"/>
      <c r="C38" s="84"/>
      <c r="H38" s="74" t="s">
        <v>6</v>
      </c>
      <c r="I38" s="74" t="s">
        <v>741</v>
      </c>
      <c r="L38" s="85" t="b">
        <v>0</v>
      </c>
      <c r="M38" s="86"/>
      <c r="O38" s="85" t="b">
        <v>0</v>
      </c>
      <c r="P38" s="86"/>
      <c r="R38" s="85" t="b">
        <v>0</v>
      </c>
      <c r="S38" s="86"/>
      <c r="U38" s="85" t="b">
        <v>0</v>
      </c>
    </row>
    <row r="39" spans="1:23">
      <c r="A39" s="84" t="s">
        <v>756</v>
      </c>
      <c r="B39" s="84"/>
      <c r="C39" s="84"/>
      <c r="H39" s="74" t="s">
        <v>8</v>
      </c>
      <c r="L39" s="85" t="b">
        <v>0</v>
      </c>
      <c r="M39" s="86"/>
      <c r="O39" s="85" t="b">
        <v>0</v>
      </c>
      <c r="P39" s="86">
        <v>45879</v>
      </c>
      <c r="R39" s="85" t="b">
        <v>1</v>
      </c>
      <c r="S39" s="86"/>
      <c r="U39" s="85" t="b">
        <v>0</v>
      </c>
    </row>
    <row r="40" spans="1:23">
      <c r="A40" s="84" t="s">
        <v>757</v>
      </c>
      <c r="B40" s="84"/>
      <c r="C40" s="84"/>
      <c r="D40" s="76">
        <v>630</v>
      </c>
      <c r="F40" s="76">
        <v>630</v>
      </c>
      <c r="H40" s="74" t="s">
        <v>748</v>
      </c>
      <c r="L40" s="85" t="b">
        <v>0</v>
      </c>
      <c r="M40" s="86"/>
      <c r="O40" s="85" t="b">
        <v>0</v>
      </c>
      <c r="P40" s="86">
        <v>45876</v>
      </c>
      <c r="R40" s="85" t="b">
        <v>0</v>
      </c>
      <c r="S40" s="86"/>
      <c r="U40" s="85" t="b">
        <v>0</v>
      </c>
    </row>
    <row r="41" spans="1:23" s="75" customFormat="1">
      <c r="A41" s="84" t="s">
        <v>758</v>
      </c>
      <c r="B41" s="77"/>
      <c r="C41" s="84"/>
      <c r="D41" s="76">
        <v>630</v>
      </c>
      <c r="E41" s="84"/>
      <c r="F41" s="76">
        <v>630</v>
      </c>
      <c r="G41" s="76"/>
      <c r="H41" s="76">
        <v>630</v>
      </c>
      <c r="I41" s="74"/>
      <c r="J41" s="74" t="s">
        <v>748</v>
      </c>
      <c r="K41" s="74"/>
      <c r="L41" s="74"/>
      <c r="M41" s="74"/>
      <c r="N41" s="85" t="b">
        <v>0</v>
      </c>
      <c r="O41" s="86"/>
      <c r="P41" s="74"/>
      <c r="Q41" s="85" t="b">
        <v>0</v>
      </c>
      <c r="R41" s="86">
        <v>45876</v>
      </c>
      <c r="S41" s="74"/>
      <c r="T41" s="85" t="b">
        <v>0</v>
      </c>
      <c r="U41" s="86"/>
      <c r="V41" s="74"/>
      <c r="W41" s="85" t="b">
        <v>0</v>
      </c>
    </row>
    <row r="42" spans="1:23" s="75" customFormat="1">
      <c r="B42" s="83"/>
      <c r="C42" s="74"/>
      <c r="D42" s="78"/>
      <c r="E42" s="78"/>
      <c r="F42" s="78"/>
      <c r="K42" s="74"/>
      <c r="L42" s="83"/>
      <c r="M42" s="74"/>
      <c r="O42" s="83"/>
      <c r="R42" s="83"/>
      <c r="U42" s="83"/>
    </row>
    <row r="43" spans="1:23" s="75" customFormat="1">
      <c r="B43" s="83"/>
      <c r="C43" s="74"/>
      <c r="D43" s="78">
        <f>SUM(D4:D42)</f>
        <v>9208</v>
      </c>
      <c r="E43" s="78"/>
      <c r="F43" s="78">
        <f>SUM(F4:F42)</f>
        <v>10213.84</v>
      </c>
      <c r="K43" s="74"/>
      <c r="L43" s="83"/>
      <c r="M43" s="74"/>
      <c r="O43" s="83"/>
      <c r="R43" s="83"/>
      <c r="U43" s="83"/>
    </row>
    <row r="44" spans="1:23" s="75" customFormat="1">
      <c r="B44" s="83"/>
      <c r="C44" s="74" t="s">
        <v>759</v>
      </c>
      <c r="D44" s="78"/>
      <c r="E44" s="78"/>
      <c r="F44" s="78">
        <v>-9208</v>
      </c>
      <c r="K44" s="74"/>
      <c r="L44" s="83"/>
      <c r="M44" s="74"/>
      <c r="O44" s="83"/>
      <c r="R44" s="83"/>
      <c r="U44" s="83"/>
    </row>
    <row r="45" spans="1:23" s="75" customFormat="1">
      <c r="B45" s="83"/>
      <c r="C45" s="74" t="s">
        <v>760</v>
      </c>
      <c r="D45" s="78"/>
      <c r="E45" s="78"/>
      <c r="F45" s="78">
        <f>SUM(F43:F44)</f>
        <v>1005.8400000000001</v>
      </c>
      <c r="K45" s="74"/>
      <c r="L45" s="83"/>
      <c r="M45" s="74"/>
      <c r="O45" s="83"/>
      <c r="R45" s="83"/>
      <c r="U45" s="83"/>
    </row>
    <row r="46" spans="1:23">
      <c r="B46" s="83"/>
      <c r="L46" s="83"/>
      <c r="O46" s="83"/>
      <c r="R46" s="83"/>
      <c r="U46" s="83"/>
    </row>
    <row r="47" spans="1:23">
      <c r="B47" s="83"/>
      <c r="L47" s="83"/>
      <c r="O47" s="83"/>
      <c r="R47" s="83"/>
      <c r="U47" s="83"/>
    </row>
    <row r="48" spans="1:23">
      <c r="B48" s="83"/>
      <c r="C48" s="74" t="s">
        <v>761</v>
      </c>
      <c r="F48" s="76">
        <v>20799</v>
      </c>
      <c r="L48" s="83"/>
      <c r="O48" s="83"/>
      <c r="R48" s="83"/>
      <c r="U48" s="83"/>
    </row>
    <row r="49" spans="2:21">
      <c r="B49" s="83"/>
      <c r="C49" s="74" t="s">
        <v>762</v>
      </c>
      <c r="F49" s="76">
        <v>3698</v>
      </c>
      <c r="L49" s="83"/>
      <c r="O49" s="83"/>
      <c r="R49" s="83"/>
      <c r="U49" s="83"/>
    </row>
    <row r="50" spans="2:21">
      <c r="B50" s="83"/>
      <c r="C50" s="74" t="s">
        <v>763</v>
      </c>
      <c r="F50" s="76">
        <v>-150</v>
      </c>
      <c r="L50" s="83"/>
      <c r="O50" s="83"/>
      <c r="R50" s="83"/>
      <c r="U50" s="83"/>
    </row>
    <row r="51" spans="2:21">
      <c r="B51" s="87"/>
      <c r="C51" s="74" t="s">
        <v>764</v>
      </c>
      <c r="F51" s="76">
        <v>1780</v>
      </c>
      <c r="L51" s="83"/>
      <c r="O51" s="83"/>
      <c r="R51" s="83"/>
      <c r="U51" s="83"/>
    </row>
    <row r="52" spans="2:21">
      <c r="B52" s="83"/>
      <c r="C52" s="74" t="s">
        <v>765</v>
      </c>
      <c r="F52" s="76">
        <v>1780</v>
      </c>
      <c r="K52" s="75"/>
      <c r="L52" s="83"/>
      <c r="M52" s="75"/>
      <c r="O52" s="83"/>
      <c r="R52" s="83"/>
      <c r="U52" s="83"/>
    </row>
    <row r="53" spans="2:21">
      <c r="B53" s="83"/>
      <c r="C53" s="74" t="s">
        <v>766</v>
      </c>
      <c r="F53" s="76">
        <v>1347</v>
      </c>
      <c r="K53" s="75"/>
      <c r="L53" s="83"/>
      <c r="M53" s="75"/>
      <c r="O53" s="83"/>
      <c r="R53" s="83"/>
      <c r="U53" s="83"/>
    </row>
    <row r="54" spans="2:21">
      <c r="B54" s="83"/>
      <c r="C54" s="74" t="s">
        <v>767</v>
      </c>
      <c r="F54" s="76">
        <v>0</v>
      </c>
      <c r="K54" s="75"/>
      <c r="L54" s="83"/>
      <c r="M54" s="75"/>
      <c r="O54" s="83"/>
      <c r="R54" s="83"/>
      <c r="U54" s="83"/>
    </row>
    <row r="55" spans="2:21">
      <c r="B55" s="83"/>
      <c r="C55" s="74" t="s">
        <v>768</v>
      </c>
      <c r="F55" s="76">
        <v>945</v>
      </c>
      <c r="K55" s="75"/>
      <c r="L55" s="83"/>
      <c r="M55" s="75"/>
      <c r="O55" s="83"/>
      <c r="R55" s="83"/>
      <c r="U55" s="83"/>
    </row>
    <row r="56" spans="2:21">
      <c r="B56" s="83"/>
      <c r="K56" s="75"/>
      <c r="L56" s="83"/>
      <c r="M56" s="75"/>
      <c r="O56" s="83"/>
      <c r="R56" s="83"/>
      <c r="U56" s="83"/>
    </row>
    <row r="57" spans="2:21">
      <c r="B57" s="83"/>
      <c r="F57" s="76">
        <f>SUM(F48:F56)</f>
        <v>30199</v>
      </c>
      <c r="K57" s="75"/>
      <c r="L57" s="83"/>
      <c r="M57" s="75"/>
      <c r="O57" s="83"/>
      <c r="R57" s="83"/>
      <c r="U57" s="83"/>
    </row>
    <row r="58" spans="2:21">
      <c r="B58" s="83"/>
      <c r="K58" s="75"/>
      <c r="L58" s="83"/>
      <c r="M58" s="75"/>
      <c r="O58" s="83"/>
      <c r="R58" s="83"/>
      <c r="U58" s="83"/>
    </row>
    <row r="59" spans="2:21">
      <c r="B59" s="83"/>
      <c r="C59" s="74" t="s">
        <v>769</v>
      </c>
      <c r="F59" s="76">
        <f>F45</f>
        <v>1005.8400000000001</v>
      </c>
      <c r="L59" s="83"/>
      <c r="O59" s="83"/>
      <c r="R59" s="83"/>
      <c r="U59" s="83"/>
    </row>
    <row r="60" spans="2:21">
      <c r="B60" s="83"/>
      <c r="C60" s="74" t="s">
        <v>770</v>
      </c>
      <c r="F60" s="78">
        <f>SUM(F57:F59)</f>
        <v>31204.84</v>
      </c>
      <c r="L60" s="91"/>
      <c r="O60" s="91"/>
      <c r="R60" s="91"/>
      <c r="U60" s="91"/>
    </row>
    <row r="61" spans="2:21" s="75" customFormat="1">
      <c r="B61" s="77"/>
      <c r="D61" s="78"/>
      <c r="E61" s="78"/>
      <c r="F61" s="78"/>
      <c r="L61" s="92"/>
      <c r="O61" s="92"/>
      <c r="R61" s="92"/>
      <c r="U61" s="92"/>
    </row>
    <row r="62" spans="2:21" s="5" customFormat="1">
      <c r="B62" s="4"/>
      <c r="C62" s="5" t="s">
        <v>771</v>
      </c>
      <c r="D62" s="11"/>
      <c r="E62" s="11"/>
      <c r="F62" s="11">
        <v>-2500</v>
      </c>
      <c r="K62" s="3"/>
      <c r="L62" s="2"/>
      <c r="M62" s="3"/>
      <c r="O62" s="2"/>
      <c r="R62" s="2"/>
      <c r="U62" s="2"/>
    </row>
    <row r="63" spans="2:21" s="75" customFormat="1">
      <c r="B63" s="83"/>
      <c r="C63" s="74"/>
      <c r="D63" s="78"/>
      <c r="E63" s="78"/>
      <c r="F63" s="78">
        <f>SUM(F60:F62)</f>
        <v>28704.84</v>
      </c>
      <c r="L63" s="77"/>
      <c r="O63" s="77"/>
      <c r="R63" s="77"/>
      <c r="U63" s="77"/>
    </row>
    <row r="64" spans="2:21" s="75" customFormat="1">
      <c r="B64" s="83"/>
      <c r="C64" s="74"/>
      <c r="D64" s="78"/>
      <c r="E64" s="78"/>
      <c r="F64" s="78"/>
      <c r="L64" s="77"/>
      <c r="O64" s="77"/>
      <c r="R64" s="77"/>
      <c r="U64" s="77"/>
    </row>
    <row r="65" spans="2:21">
      <c r="B65" s="83"/>
      <c r="K65" s="75"/>
      <c r="L65" s="77"/>
      <c r="M65" s="75"/>
      <c r="O65" s="77"/>
      <c r="R65" s="77"/>
      <c r="U65" s="77"/>
    </row>
    <row r="66" spans="2:21">
      <c r="B66" s="83"/>
      <c r="K66" s="75"/>
      <c r="L66" s="83"/>
      <c r="M66" s="75"/>
      <c r="O66" s="83"/>
      <c r="R66" s="83"/>
      <c r="U66" s="83"/>
    </row>
    <row r="67" spans="2:21">
      <c r="B67" s="83"/>
      <c r="K67" s="75"/>
      <c r="L67" s="83"/>
      <c r="M67" s="75"/>
      <c r="O67" s="83"/>
      <c r="R67" s="83"/>
      <c r="U67" s="83"/>
    </row>
    <row r="68" spans="2:21">
      <c r="B68" s="83"/>
      <c r="L68" s="83"/>
      <c r="O68" s="83"/>
      <c r="R68" s="83"/>
      <c r="U68" s="83"/>
    </row>
    <row r="69" spans="2:21">
      <c r="B69" s="83"/>
      <c r="L69" s="83"/>
      <c r="O69" s="83"/>
      <c r="R69" s="83"/>
      <c r="U69" s="83"/>
    </row>
    <row r="70" spans="2:21">
      <c r="B70" s="83"/>
      <c r="L70" s="83"/>
      <c r="O70" s="83"/>
      <c r="R70" s="83"/>
      <c r="U70" s="83"/>
    </row>
    <row r="71" spans="2:21">
      <c r="B71" s="83"/>
      <c r="L71" s="83"/>
      <c r="O71" s="83"/>
      <c r="R71" s="83"/>
      <c r="U71" s="83"/>
    </row>
    <row r="72" spans="2:21">
      <c r="B72" s="83"/>
      <c r="L72" s="83"/>
      <c r="O72" s="83"/>
      <c r="R72" s="83"/>
      <c r="U72" s="83"/>
    </row>
    <row r="73" spans="2:21">
      <c r="B73" s="83"/>
      <c r="L73" s="83"/>
      <c r="O73" s="83"/>
      <c r="R73" s="83"/>
      <c r="U73" s="83"/>
    </row>
    <row r="74" spans="2:21">
      <c r="B74" s="83"/>
      <c r="L74" s="83"/>
      <c r="O74" s="83"/>
      <c r="R74" s="83"/>
      <c r="U74" s="83"/>
    </row>
    <row r="75" spans="2:21">
      <c r="B75" s="83"/>
      <c r="L75" s="83"/>
      <c r="O75" s="83"/>
      <c r="R75" s="83"/>
      <c r="U75" s="83"/>
    </row>
    <row r="76" spans="2:21">
      <c r="L76" s="83"/>
      <c r="O76" s="83"/>
      <c r="R76" s="83"/>
      <c r="U76" s="83"/>
    </row>
    <row r="77" spans="2:21">
      <c r="L77" s="83"/>
      <c r="O77" s="83"/>
      <c r="R77" s="83"/>
      <c r="U77" s="83"/>
    </row>
    <row r="78" spans="2:21">
      <c r="L78" s="83"/>
      <c r="O78" s="83"/>
      <c r="R78" s="83"/>
      <c r="U78" s="83"/>
    </row>
  </sheetData>
  <pageMargins left="0.7" right="0.7" top="0.75" bottom="0.75" header="0.3" footer="0.3"/>
  <pageSetup orientation="portrait" horizontalDpi="203" verticalDpi="20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F66F-70BD-481A-ADD2-04EF0B50DD38}">
  <dimension ref="A1:W74"/>
  <sheetViews>
    <sheetView workbookViewId="0">
      <pane ySplit="2" topLeftCell="A33" activePane="bottomLeft" state="frozen"/>
      <selection pane="bottomLeft" activeCell="C46" sqref="C46"/>
      <selection activeCell="C1" sqref="C1"/>
    </sheetView>
  </sheetViews>
  <sheetFormatPr defaultColWidth="8.85546875" defaultRowHeight="15.95"/>
  <cols>
    <col min="1" max="1" width="12.7109375" style="3" customWidth="1"/>
    <col min="2" max="2" width="8.85546875" style="3"/>
    <col min="3" max="3" width="30.28515625" style="3" customWidth="1"/>
    <col min="4" max="4" width="18.140625" style="13" customWidth="1"/>
    <col min="5" max="5" width="1.85546875" style="13" customWidth="1"/>
    <col min="6" max="6" width="20" style="13" customWidth="1"/>
    <col min="7" max="7" width="2.7109375" style="3" customWidth="1"/>
    <col min="8" max="8" width="26.5703125" style="3" customWidth="1"/>
    <col min="9" max="9" width="13" style="3" customWidth="1"/>
    <col min="10" max="10" width="13.7109375" style="3" customWidth="1"/>
    <col min="11" max="11" width="2.42578125" style="3" customWidth="1"/>
    <col min="12" max="12" width="8.85546875" style="3"/>
    <col min="13" max="13" width="13.7109375" style="3" customWidth="1"/>
    <col min="14" max="14" width="2.7109375" style="3" customWidth="1"/>
    <col min="15" max="15" width="8.85546875" style="3"/>
    <col min="16" max="16" width="13.7109375" style="3" customWidth="1"/>
    <col min="17" max="17" width="2.7109375" style="3" customWidth="1"/>
    <col min="18" max="18" width="8.85546875" style="3"/>
    <col min="19" max="19" width="11.42578125" style="3" customWidth="1"/>
    <col min="20" max="20" width="2.140625" style="3" customWidth="1"/>
    <col min="21" max="21" width="8.85546875" style="3"/>
    <col min="22" max="22" width="11.42578125" style="3" customWidth="1"/>
    <col min="23" max="23" width="32.5703125" style="3" customWidth="1"/>
    <col min="24" max="24" width="21.42578125" style="3" customWidth="1"/>
    <col min="25" max="16384" width="8.85546875" style="3"/>
  </cols>
  <sheetData>
    <row r="1" spans="1:23" s="5" customFormat="1">
      <c r="A1" s="4" t="s">
        <v>560</v>
      </c>
      <c r="D1" s="11"/>
      <c r="E1" s="11"/>
      <c r="F1" s="11"/>
      <c r="L1" s="4"/>
      <c r="O1" s="4"/>
      <c r="R1" s="4"/>
      <c r="U1" s="4"/>
    </row>
    <row r="2" spans="1:23" s="5" customFormat="1" ht="47.65">
      <c r="B2" s="4"/>
      <c r="D2" s="12" t="s">
        <v>67</v>
      </c>
      <c r="E2" s="12"/>
      <c r="F2" s="12" t="s">
        <v>68</v>
      </c>
      <c r="G2" s="6"/>
      <c r="H2" s="6" t="s">
        <v>5</v>
      </c>
      <c r="I2" s="6" t="s">
        <v>1</v>
      </c>
      <c r="J2" s="7" t="s">
        <v>591</v>
      </c>
      <c r="K2" s="6"/>
      <c r="L2" s="17"/>
      <c r="M2" s="7" t="s">
        <v>193</v>
      </c>
      <c r="O2" s="17"/>
      <c r="P2" s="7" t="s">
        <v>69</v>
      </c>
      <c r="R2" s="17"/>
      <c r="S2" s="7" t="s">
        <v>70</v>
      </c>
      <c r="U2" s="17"/>
      <c r="V2" s="7" t="s">
        <v>71</v>
      </c>
      <c r="W2" s="6" t="s">
        <v>72</v>
      </c>
    </row>
    <row r="3" spans="1:23" s="5" customFormat="1">
      <c r="A3" s="4" t="s">
        <v>73</v>
      </c>
      <c r="D3" s="11"/>
      <c r="E3" s="11"/>
      <c r="F3" s="11"/>
    </row>
    <row r="4" spans="1:23">
      <c r="B4" s="1"/>
      <c r="L4" s="1"/>
      <c r="O4" s="1"/>
      <c r="R4" s="1"/>
      <c r="U4" s="1"/>
    </row>
    <row r="5" spans="1:23">
      <c r="A5" s="20"/>
      <c r="B5" s="20"/>
      <c r="C5" s="20"/>
      <c r="D5" s="13">
        <v>150</v>
      </c>
      <c r="F5" s="13">
        <v>-150</v>
      </c>
      <c r="H5" s="3" t="s">
        <v>740</v>
      </c>
      <c r="L5" s="1"/>
      <c r="O5" s="1"/>
      <c r="R5" s="1"/>
      <c r="U5" s="1"/>
    </row>
    <row r="6" spans="1:23">
      <c r="A6" s="20"/>
      <c r="B6" s="20"/>
      <c r="C6" s="20"/>
      <c r="L6" s="8" t="b">
        <v>0</v>
      </c>
      <c r="O6" s="8" t="b">
        <v>0</v>
      </c>
      <c r="R6" s="8" t="b">
        <v>0</v>
      </c>
      <c r="U6" s="8" t="b">
        <v>0</v>
      </c>
    </row>
    <row r="7" spans="1:23">
      <c r="A7" s="20"/>
      <c r="B7" s="20"/>
      <c r="C7" s="20"/>
      <c r="L7" s="8" t="b">
        <v>0</v>
      </c>
      <c r="O7" s="8" t="b">
        <v>0</v>
      </c>
      <c r="P7" s="10"/>
      <c r="R7" s="8" t="b">
        <v>0</v>
      </c>
      <c r="U7" s="8" t="b">
        <v>0</v>
      </c>
    </row>
    <row r="8" spans="1:23">
      <c r="A8" s="20" t="s">
        <v>563</v>
      </c>
      <c r="B8" s="20"/>
      <c r="C8" s="20"/>
      <c r="F8" s="13">
        <v>1809.66</v>
      </c>
      <c r="H8" s="3" t="s">
        <v>6</v>
      </c>
      <c r="L8" s="8" t="b">
        <v>0</v>
      </c>
      <c r="M8" s="10"/>
      <c r="O8" s="8" t="b">
        <v>0</v>
      </c>
      <c r="P8" s="10">
        <v>45874</v>
      </c>
      <c r="R8" s="8" t="b">
        <v>1</v>
      </c>
      <c r="S8" s="10"/>
      <c r="U8" s="8" t="b">
        <v>0</v>
      </c>
    </row>
    <row r="9" spans="1:23">
      <c r="A9" s="20"/>
      <c r="B9" s="20"/>
      <c r="C9" s="20"/>
      <c r="H9" s="3" t="s">
        <v>6</v>
      </c>
      <c r="I9" s="3" t="s">
        <v>741</v>
      </c>
      <c r="L9" s="8" t="b">
        <v>0</v>
      </c>
      <c r="M9" s="10"/>
      <c r="O9" s="8" t="b">
        <v>0</v>
      </c>
      <c r="P9" s="10"/>
      <c r="R9" s="8" t="b">
        <v>0</v>
      </c>
      <c r="S9" s="10"/>
      <c r="U9" s="8" t="b">
        <v>0</v>
      </c>
    </row>
    <row r="10" spans="1:23">
      <c r="A10" s="20" t="s">
        <v>742</v>
      </c>
      <c r="B10" s="20"/>
      <c r="C10" s="20"/>
      <c r="D10" s="13">
        <v>400</v>
      </c>
      <c r="F10" s="13">
        <v>266.27999999999997</v>
      </c>
      <c r="H10" s="3" t="s">
        <v>12</v>
      </c>
      <c r="I10" s="3" t="s">
        <v>743</v>
      </c>
      <c r="L10" s="8" t="b">
        <v>0</v>
      </c>
      <c r="M10" s="10">
        <v>45862</v>
      </c>
      <c r="O10" s="8" t="b">
        <v>1</v>
      </c>
      <c r="P10" s="10">
        <v>45874</v>
      </c>
      <c r="R10" s="8" t="b">
        <v>1</v>
      </c>
      <c r="S10" s="10"/>
      <c r="U10" s="8" t="b">
        <v>0</v>
      </c>
    </row>
    <row r="11" spans="1:23">
      <c r="A11" s="20" t="s">
        <v>744</v>
      </c>
      <c r="B11" s="20"/>
      <c r="C11" s="20"/>
      <c r="D11" s="13">
        <v>2200</v>
      </c>
      <c r="F11" s="13">
        <f>2741.28+457+890-1347</f>
        <v>2741.28</v>
      </c>
      <c r="H11" s="3" t="s">
        <v>745</v>
      </c>
      <c r="I11" s="3" t="s">
        <v>746</v>
      </c>
      <c r="J11" s="10"/>
      <c r="L11" s="8" t="b">
        <v>0</v>
      </c>
      <c r="M11" s="10"/>
      <c r="O11" s="8" t="b">
        <v>0</v>
      </c>
      <c r="P11" s="10">
        <v>45880</v>
      </c>
      <c r="R11" s="8" t="b">
        <v>0</v>
      </c>
      <c r="S11" s="10"/>
      <c r="U11" s="8" t="b">
        <v>0</v>
      </c>
    </row>
    <row r="12" spans="1:23">
      <c r="A12" s="20"/>
      <c r="B12" s="20"/>
      <c r="C12" s="20"/>
      <c r="L12" s="8" t="b">
        <v>0</v>
      </c>
      <c r="M12" s="10"/>
      <c r="O12" s="8" t="b">
        <v>0</v>
      </c>
      <c r="P12" s="10"/>
      <c r="R12" s="8" t="b">
        <v>0</v>
      </c>
      <c r="S12" s="10"/>
      <c r="U12" s="8" t="b">
        <v>0</v>
      </c>
    </row>
    <row r="13" spans="1:23">
      <c r="A13" s="20"/>
      <c r="B13" s="20"/>
      <c r="C13" s="20"/>
      <c r="J13" s="10"/>
      <c r="L13" s="8" t="b">
        <v>0</v>
      </c>
      <c r="M13" s="10"/>
      <c r="O13" s="8" t="b">
        <v>0</v>
      </c>
      <c r="P13" s="10"/>
      <c r="R13" s="8" t="b">
        <v>0</v>
      </c>
      <c r="S13" s="10"/>
      <c r="U13" s="8" t="b">
        <v>0</v>
      </c>
    </row>
    <row r="14" spans="1:23">
      <c r="A14" s="20" t="s">
        <v>747</v>
      </c>
      <c r="B14" s="20"/>
      <c r="C14" s="20"/>
      <c r="D14" s="13">
        <v>500</v>
      </c>
      <c r="F14" s="13">
        <v>420.01</v>
      </c>
      <c r="H14" s="3" t="s">
        <v>381</v>
      </c>
      <c r="L14" s="8" t="b">
        <v>0</v>
      </c>
      <c r="M14" s="10"/>
      <c r="O14" s="8" t="b">
        <v>0</v>
      </c>
      <c r="P14" s="10">
        <v>45874</v>
      </c>
      <c r="R14" s="8" t="b">
        <v>1</v>
      </c>
      <c r="U14" s="8" t="b">
        <v>0</v>
      </c>
    </row>
    <row r="15" spans="1:23" ht="18.399999999999999">
      <c r="A15" s="20" t="s">
        <v>325</v>
      </c>
      <c r="B15" s="20"/>
      <c r="C15" s="20"/>
      <c r="D15" s="13">
        <v>350</v>
      </c>
      <c r="H15" s="3" t="s">
        <v>6</v>
      </c>
      <c r="I15" s="63" t="e" vm="1">
        <v>#VALUE!</v>
      </c>
      <c r="L15" s="1"/>
      <c r="O15" s="1"/>
    </row>
    <row r="16" spans="1:23">
      <c r="A16" s="20"/>
      <c r="B16" s="20"/>
      <c r="C16" s="20"/>
      <c r="L16" s="18"/>
      <c r="O16" s="18"/>
      <c r="R16" s="18"/>
      <c r="U16" s="18"/>
    </row>
    <row r="17" spans="1:21">
      <c r="A17" s="20"/>
      <c r="B17" s="20"/>
      <c r="C17" s="20"/>
      <c r="L17" s="18"/>
      <c r="O17" s="18"/>
      <c r="R17" s="18"/>
      <c r="U17" s="18"/>
    </row>
    <row r="18" spans="1:21">
      <c r="A18" s="20" t="s">
        <v>407</v>
      </c>
      <c r="B18" s="20"/>
      <c r="C18" s="20"/>
      <c r="D18" s="13">
        <v>1500</v>
      </c>
      <c r="F18" s="13">
        <v>1541.61</v>
      </c>
      <c r="H18" s="3" t="s">
        <v>748</v>
      </c>
      <c r="L18" s="8" t="b">
        <v>0</v>
      </c>
      <c r="M18" s="10"/>
      <c r="O18" s="8" t="b">
        <v>0</v>
      </c>
      <c r="P18" s="10">
        <v>45867</v>
      </c>
      <c r="R18" s="8" t="b">
        <v>1</v>
      </c>
      <c r="U18" s="8" t="b">
        <v>0</v>
      </c>
    </row>
    <row r="19" spans="1:21">
      <c r="A19" s="20" t="s">
        <v>411</v>
      </c>
      <c r="B19" s="20"/>
      <c r="C19" s="20"/>
      <c r="F19" s="13">
        <v>1008</v>
      </c>
      <c r="H19" s="3" t="s">
        <v>413</v>
      </c>
      <c r="L19" s="8" t="b">
        <v>0</v>
      </c>
      <c r="M19" s="10"/>
      <c r="O19" s="8" t="b">
        <v>0</v>
      </c>
      <c r="P19" s="10"/>
      <c r="R19" s="8" t="b">
        <v>0</v>
      </c>
      <c r="U19" s="8" t="b">
        <v>0</v>
      </c>
    </row>
    <row r="20" spans="1:21">
      <c r="A20" s="20"/>
      <c r="B20" s="20"/>
      <c r="C20" s="20"/>
      <c r="L20" s="1"/>
      <c r="M20" s="10"/>
      <c r="O20" s="1"/>
      <c r="R20" s="1"/>
      <c r="U20" s="1"/>
    </row>
    <row r="21" spans="1:21">
      <c r="A21" s="20" t="s">
        <v>749</v>
      </c>
      <c r="B21" s="20"/>
      <c r="C21" s="20"/>
      <c r="D21" s="13">
        <v>350</v>
      </c>
      <c r="F21" s="13">
        <v>151.54</v>
      </c>
      <c r="H21" s="3" t="s">
        <v>12</v>
      </c>
      <c r="L21" s="8" t="b">
        <v>0</v>
      </c>
      <c r="M21" s="10">
        <v>45862</v>
      </c>
      <c r="O21" s="8" t="b">
        <v>1</v>
      </c>
      <c r="P21" s="10">
        <v>45874</v>
      </c>
      <c r="R21" s="8" t="b">
        <v>1</v>
      </c>
      <c r="U21" s="8" t="b">
        <v>0</v>
      </c>
    </row>
    <row r="22" spans="1:21">
      <c r="A22" s="20"/>
      <c r="B22" s="20"/>
      <c r="C22" s="20"/>
      <c r="L22" s="1"/>
      <c r="M22" s="10"/>
      <c r="O22" s="1"/>
      <c r="R22" s="1"/>
      <c r="U22" s="1"/>
    </row>
    <row r="23" spans="1:21">
      <c r="A23" s="20" t="s">
        <v>750</v>
      </c>
      <c r="B23" s="20"/>
      <c r="C23" s="20"/>
      <c r="F23" s="13">
        <v>49.88</v>
      </c>
      <c r="H23" s="3" t="s">
        <v>8</v>
      </c>
      <c r="L23" s="8" t="b">
        <v>0</v>
      </c>
      <c r="M23" s="10"/>
      <c r="O23" s="8" t="b">
        <v>0</v>
      </c>
      <c r="P23" s="10">
        <v>45876</v>
      </c>
      <c r="R23" s="8" t="b">
        <v>0</v>
      </c>
      <c r="U23" s="8" t="b">
        <v>0</v>
      </c>
    </row>
    <row r="24" spans="1:21">
      <c r="A24" s="20" t="s">
        <v>751</v>
      </c>
      <c r="B24" s="20"/>
      <c r="C24" s="20"/>
      <c r="F24" s="13">
        <v>16.29</v>
      </c>
      <c r="H24" s="3" t="s">
        <v>8</v>
      </c>
      <c r="L24" s="8" t="b">
        <v>0</v>
      </c>
      <c r="M24" s="10"/>
      <c r="O24" s="8" t="b">
        <v>0</v>
      </c>
      <c r="P24" s="10"/>
      <c r="R24" s="8" t="b">
        <v>0</v>
      </c>
      <c r="U24" s="8" t="b">
        <v>0</v>
      </c>
    </row>
    <row r="25" spans="1:21">
      <c r="A25" s="20"/>
      <c r="B25" s="20"/>
      <c r="C25" s="20"/>
      <c r="L25" s="8" t="b">
        <v>0</v>
      </c>
      <c r="M25" s="10"/>
      <c r="O25" s="8" t="b">
        <v>0</v>
      </c>
      <c r="R25" s="8" t="b">
        <v>0</v>
      </c>
      <c r="U25" s="8" t="b">
        <v>0</v>
      </c>
    </row>
    <row r="26" spans="1:21">
      <c r="A26" s="20"/>
      <c r="B26" s="20"/>
      <c r="C26" s="20"/>
      <c r="L26" s="8" t="b">
        <v>0</v>
      </c>
      <c r="M26" s="10"/>
      <c r="O26" s="8" t="b">
        <v>0</v>
      </c>
      <c r="R26" s="8" t="b">
        <v>0</v>
      </c>
      <c r="U26" s="8" t="b">
        <v>0</v>
      </c>
    </row>
    <row r="27" spans="1:21">
      <c r="A27" s="20"/>
      <c r="B27" s="20"/>
      <c r="C27" s="20"/>
      <c r="L27" s="1"/>
      <c r="M27" s="10"/>
      <c r="O27" s="1"/>
      <c r="R27" s="1"/>
      <c r="U27" s="1"/>
    </row>
    <row r="28" spans="1:21">
      <c r="A28" s="20"/>
      <c r="B28" s="20"/>
      <c r="C28" s="20"/>
      <c r="L28" s="1"/>
      <c r="M28" s="10"/>
      <c r="O28" s="1"/>
      <c r="R28" s="1"/>
      <c r="U28" s="1"/>
    </row>
    <row r="29" spans="1:21">
      <c r="A29" s="20"/>
      <c r="B29" s="20"/>
      <c r="C29" s="20"/>
      <c r="L29" s="1"/>
      <c r="M29" s="10"/>
      <c r="O29" s="1"/>
      <c r="R29" s="1"/>
      <c r="U29" s="1"/>
    </row>
    <row r="30" spans="1:21">
      <c r="A30" s="20"/>
      <c r="B30" s="20"/>
      <c r="C30" s="20"/>
      <c r="L30" s="18"/>
      <c r="O30" s="18"/>
      <c r="R30" s="18"/>
      <c r="U30" s="18"/>
    </row>
    <row r="31" spans="1:21">
      <c r="A31" s="20" t="s">
        <v>753</v>
      </c>
      <c r="B31" s="20"/>
      <c r="C31" s="20"/>
      <c r="D31" s="13">
        <f>3698-1200</f>
        <v>2498</v>
      </c>
      <c r="L31" s="1"/>
      <c r="M31" s="10"/>
      <c r="O31" s="1"/>
      <c r="R31" s="1"/>
      <c r="U31" s="1"/>
    </row>
    <row r="32" spans="1:21">
      <c r="A32" s="20" t="s">
        <v>411</v>
      </c>
      <c r="B32" s="20"/>
      <c r="C32" s="20"/>
      <c r="F32" s="13">
        <v>540</v>
      </c>
      <c r="L32" s="8" t="b">
        <v>0</v>
      </c>
      <c r="M32" s="10"/>
      <c r="O32" s="8" t="b">
        <v>0</v>
      </c>
      <c r="P32" s="10"/>
      <c r="R32" s="8" t="b">
        <v>0</v>
      </c>
      <c r="U32" s="8" t="b">
        <v>0</v>
      </c>
    </row>
    <row r="33" spans="1:23">
      <c r="A33" s="20" t="s">
        <v>563</v>
      </c>
      <c r="B33" s="20"/>
      <c r="C33" s="20"/>
      <c r="H33" s="3" t="s">
        <v>6</v>
      </c>
      <c r="I33" s="3" t="s">
        <v>754</v>
      </c>
      <c r="L33" s="8" t="b">
        <v>0</v>
      </c>
      <c r="M33" s="10"/>
      <c r="O33" s="8" t="b">
        <v>0</v>
      </c>
      <c r="P33" s="10"/>
      <c r="R33" s="8" t="b">
        <v>0</v>
      </c>
      <c r="S33" s="10"/>
      <c r="U33" s="8" t="b">
        <v>0</v>
      </c>
    </row>
    <row r="34" spans="1:23">
      <c r="A34" s="20"/>
      <c r="B34" s="20"/>
      <c r="C34" s="20"/>
      <c r="H34" s="3" t="s">
        <v>6</v>
      </c>
      <c r="I34" s="3" t="s">
        <v>741</v>
      </c>
      <c r="L34" s="8" t="b">
        <v>0</v>
      </c>
      <c r="M34" s="10"/>
      <c r="O34" s="8" t="b">
        <v>0</v>
      </c>
      <c r="P34" s="10"/>
      <c r="R34" s="8" t="b">
        <v>0</v>
      </c>
      <c r="S34" s="10"/>
      <c r="U34" s="8" t="b">
        <v>0</v>
      </c>
    </row>
    <row r="35" spans="1:23">
      <c r="A35" s="20" t="s">
        <v>755</v>
      </c>
      <c r="B35" s="20"/>
      <c r="C35" s="20"/>
      <c r="F35" s="13">
        <v>435</v>
      </c>
      <c r="L35" s="8" t="b">
        <v>0</v>
      </c>
      <c r="M35" s="10"/>
      <c r="O35" s="8" t="b">
        <v>0</v>
      </c>
      <c r="P35" s="10"/>
      <c r="R35" s="8" t="b">
        <v>0</v>
      </c>
      <c r="U35" s="8" t="b">
        <v>0</v>
      </c>
    </row>
    <row r="36" spans="1:23">
      <c r="A36" s="20" t="s">
        <v>563</v>
      </c>
      <c r="B36" s="20"/>
      <c r="C36" s="20"/>
      <c r="H36" s="3" t="s">
        <v>6</v>
      </c>
      <c r="I36" s="3" t="s">
        <v>754</v>
      </c>
      <c r="L36" s="8" t="b">
        <v>0</v>
      </c>
      <c r="M36" s="10"/>
      <c r="O36" s="8" t="b">
        <v>0</v>
      </c>
      <c r="P36" s="10"/>
      <c r="R36" s="8" t="b">
        <v>0</v>
      </c>
      <c r="S36" s="10"/>
      <c r="U36" s="8" t="b">
        <v>0</v>
      </c>
    </row>
    <row r="37" spans="1:23">
      <c r="A37" s="20"/>
      <c r="B37" s="20"/>
      <c r="C37" s="20"/>
      <c r="H37" s="3" t="s">
        <v>6</v>
      </c>
      <c r="I37" s="3" t="s">
        <v>741</v>
      </c>
      <c r="L37" s="8" t="b">
        <v>0</v>
      </c>
      <c r="M37" s="10"/>
      <c r="O37" s="8" t="b">
        <v>0</v>
      </c>
      <c r="P37" s="10"/>
      <c r="R37" s="8" t="b">
        <v>0</v>
      </c>
      <c r="S37" s="10"/>
      <c r="U37" s="8" t="b">
        <v>0</v>
      </c>
    </row>
    <row r="38" spans="1:23">
      <c r="A38" s="20" t="s">
        <v>756</v>
      </c>
      <c r="B38" s="20"/>
      <c r="C38" s="20"/>
      <c r="H38" s="3" t="s">
        <v>8</v>
      </c>
      <c r="L38" s="8" t="b">
        <v>0</v>
      </c>
      <c r="M38" s="10"/>
      <c r="O38" s="8" t="b">
        <v>0</v>
      </c>
      <c r="P38" s="10">
        <v>45879</v>
      </c>
      <c r="R38" s="8" t="b">
        <v>1</v>
      </c>
      <c r="S38" s="10"/>
      <c r="U38" s="8" t="b">
        <v>0</v>
      </c>
    </row>
    <row r="39" spans="1:23">
      <c r="A39" s="20" t="s">
        <v>757</v>
      </c>
      <c r="B39" s="20"/>
      <c r="C39" s="20"/>
      <c r="D39" s="13">
        <v>630</v>
      </c>
      <c r="F39" s="13">
        <v>630</v>
      </c>
      <c r="H39" s="3" t="s">
        <v>748</v>
      </c>
      <c r="L39" s="8" t="b">
        <v>0</v>
      </c>
      <c r="M39" s="10"/>
      <c r="O39" s="8" t="b">
        <v>0</v>
      </c>
      <c r="P39" s="10">
        <v>45876</v>
      </c>
      <c r="R39" s="8" t="b">
        <v>0</v>
      </c>
      <c r="S39" s="10"/>
      <c r="U39" s="8" t="b">
        <v>0</v>
      </c>
    </row>
    <row r="40" spans="1:23" s="5" customFormat="1">
      <c r="A40" s="20" t="s">
        <v>758</v>
      </c>
      <c r="B40" s="4"/>
      <c r="C40" s="20"/>
      <c r="D40" s="13">
        <v>630</v>
      </c>
      <c r="E40" s="20"/>
      <c r="F40" s="13">
        <v>630</v>
      </c>
      <c r="G40" s="13"/>
      <c r="H40" s="13">
        <v>630</v>
      </c>
      <c r="I40" s="3"/>
      <c r="J40" s="3" t="s">
        <v>748</v>
      </c>
      <c r="K40" s="3"/>
      <c r="L40" s="3"/>
      <c r="M40" s="3"/>
      <c r="N40" s="8" t="b">
        <v>0</v>
      </c>
      <c r="O40" s="10"/>
      <c r="P40" s="3"/>
      <c r="Q40" s="8" t="b">
        <v>0</v>
      </c>
      <c r="R40" s="10">
        <v>45876</v>
      </c>
      <c r="S40" s="3"/>
      <c r="T40" s="8" t="b">
        <v>0</v>
      </c>
      <c r="U40" s="10"/>
      <c r="V40" s="3"/>
      <c r="W40" s="8" t="b">
        <v>0</v>
      </c>
    </row>
    <row r="41" spans="1:23" s="5" customFormat="1">
      <c r="B41" s="1"/>
      <c r="C41" s="3"/>
      <c r="D41" s="11"/>
      <c r="E41" s="11"/>
      <c r="F41" s="11"/>
      <c r="K41" s="3"/>
      <c r="L41" s="1"/>
      <c r="M41" s="3"/>
      <c r="O41" s="1"/>
      <c r="R41" s="1"/>
      <c r="U41" s="1"/>
    </row>
    <row r="42" spans="1:23" s="5" customFormat="1">
      <c r="B42" s="1"/>
      <c r="C42" s="3"/>
      <c r="D42" s="11">
        <f>SUM(D4:D41)</f>
        <v>9208</v>
      </c>
      <c r="E42" s="11"/>
      <c r="F42" s="11">
        <f>SUM(F4:F41)</f>
        <v>10089.549999999999</v>
      </c>
      <c r="K42" s="3"/>
      <c r="L42" s="1"/>
      <c r="M42" s="3"/>
      <c r="O42" s="1"/>
      <c r="R42" s="1"/>
      <c r="U42" s="1"/>
    </row>
    <row r="43" spans="1:23" s="5" customFormat="1">
      <c r="B43" s="1"/>
      <c r="C43" s="3" t="s">
        <v>759</v>
      </c>
      <c r="D43" s="11"/>
      <c r="E43" s="11"/>
      <c r="F43" s="11">
        <v>-9208</v>
      </c>
      <c r="K43" s="3"/>
      <c r="L43" s="1"/>
      <c r="M43" s="3"/>
      <c r="O43" s="1"/>
      <c r="R43" s="1"/>
      <c r="U43" s="1"/>
    </row>
    <row r="44" spans="1:23" s="5" customFormat="1">
      <c r="B44" s="1"/>
      <c r="C44" s="3" t="s">
        <v>760</v>
      </c>
      <c r="D44" s="11"/>
      <c r="E44" s="11"/>
      <c r="F44" s="11">
        <f>SUM(F42:F43)</f>
        <v>881.54999999999927</v>
      </c>
      <c r="K44" s="3"/>
      <c r="L44" s="1"/>
      <c r="M44" s="3"/>
      <c r="O44" s="1"/>
      <c r="R44" s="1"/>
      <c r="U44" s="1"/>
    </row>
    <row r="45" spans="1:23">
      <c r="B45" s="1"/>
      <c r="L45" s="1"/>
      <c r="O45" s="1"/>
      <c r="R45" s="1"/>
      <c r="U45" s="1"/>
    </row>
    <row r="46" spans="1:23">
      <c r="B46" s="1"/>
      <c r="L46" s="1"/>
      <c r="O46" s="1"/>
      <c r="R46" s="1"/>
      <c r="U46" s="1"/>
    </row>
    <row r="47" spans="1:23">
      <c r="B47" s="1"/>
      <c r="C47" s="3" t="s">
        <v>761</v>
      </c>
      <c r="F47" s="13">
        <v>20799</v>
      </c>
      <c r="L47" s="1"/>
      <c r="O47" s="1"/>
      <c r="R47" s="1"/>
      <c r="U47" s="1"/>
    </row>
    <row r="48" spans="1:23">
      <c r="B48" s="1"/>
      <c r="C48" s="3" t="s">
        <v>772</v>
      </c>
      <c r="F48" s="13">
        <v>3698</v>
      </c>
      <c r="L48" s="1"/>
      <c r="O48" s="1"/>
      <c r="R48" s="1"/>
      <c r="U48" s="1"/>
    </row>
    <row r="49" spans="2:21">
      <c r="B49" s="1"/>
      <c r="C49" s="3" t="s">
        <v>773</v>
      </c>
      <c r="F49" s="13">
        <v>-150</v>
      </c>
      <c r="L49" s="1"/>
      <c r="O49" s="1"/>
      <c r="R49" s="1"/>
      <c r="U49" s="1"/>
    </row>
    <row r="50" spans="2:21">
      <c r="B50" s="18"/>
      <c r="C50" s="3" t="s">
        <v>774</v>
      </c>
      <c r="F50" s="13">
        <v>1780</v>
      </c>
      <c r="L50" s="1"/>
      <c r="O50" s="1"/>
      <c r="R50" s="1"/>
      <c r="U50" s="1"/>
    </row>
    <row r="51" spans="2:21">
      <c r="B51" s="1"/>
      <c r="C51" s="3" t="s">
        <v>775</v>
      </c>
      <c r="F51" s="13">
        <v>1780</v>
      </c>
      <c r="K51" s="5"/>
      <c r="L51" s="1"/>
      <c r="M51" s="5"/>
      <c r="O51" s="1"/>
      <c r="R51" s="1"/>
      <c r="U51" s="1"/>
    </row>
    <row r="52" spans="2:21">
      <c r="B52" s="1"/>
      <c r="C52" s="3" t="s">
        <v>776</v>
      </c>
      <c r="F52" s="13">
        <v>1347</v>
      </c>
      <c r="K52" s="5"/>
      <c r="L52" s="1"/>
      <c r="M52" s="5"/>
      <c r="O52" s="1"/>
      <c r="R52" s="1"/>
      <c r="U52" s="1"/>
    </row>
    <row r="53" spans="2:21">
      <c r="B53" s="1"/>
      <c r="F53" s="11">
        <f>SUM(F47:F52)</f>
        <v>29254</v>
      </c>
      <c r="K53" s="5"/>
      <c r="L53" s="1"/>
      <c r="M53" s="5"/>
      <c r="O53" s="1"/>
      <c r="R53" s="1"/>
      <c r="U53" s="1"/>
    </row>
    <row r="54" spans="2:21">
      <c r="B54" s="1"/>
      <c r="K54" s="5"/>
      <c r="L54" s="1"/>
      <c r="M54" s="5"/>
      <c r="O54" s="1"/>
      <c r="R54" s="1"/>
      <c r="U54" s="1"/>
    </row>
    <row r="55" spans="2:21">
      <c r="B55" s="1"/>
      <c r="C55" s="3" t="s">
        <v>769</v>
      </c>
      <c r="F55" s="13">
        <f>F44</f>
        <v>881.54999999999927</v>
      </c>
      <c r="L55" s="1"/>
      <c r="O55" s="1"/>
      <c r="R55" s="1"/>
      <c r="U55" s="1"/>
    </row>
    <row r="56" spans="2:21">
      <c r="B56" s="1"/>
      <c r="C56" s="3" t="s">
        <v>770</v>
      </c>
      <c r="F56" s="11">
        <f>SUM(F53:F55)</f>
        <v>30135.55</v>
      </c>
      <c r="L56" s="2"/>
      <c r="O56" s="2"/>
      <c r="R56" s="2"/>
      <c r="U56" s="2"/>
    </row>
    <row r="57" spans="2:21" s="5" customFormat="1">
      <c r="B57" s="4"/>
      <c r="D57" s="11"/>
      <c r="E57" s="11"/>
      <c r="F57" s="11"/>
      <c r="L57" s="14"/>
      <c r="O57" s="14"/>
      <c r="R57" s="14"/>
      <c r="U57" s="14"/>
    </row>
    <row r="58" spans="2:21" s="5" customFormat="1">
      <c r="B58" s="4"/>
      <c r="D58" s="11"/>
      <c r="E58" s="11"/>
      <c r="F58" s="11"/>
      <c r="K58" s="3"/>
      <c r="L58" s="2"/>
      <c r="M58" s="3"/>
      <c r="O58" s="2"/>
      <c r="R58" s="2"/>
      <c r="U58" s="2"/>
    </row>
    <row r="59" spans="2:21" s="5" customFormat="1">
      <c r="B59" s="1"/>
      <c r="C59" s="3"/>
      <c r="D59" s="11"/>
      <c r="E59" s="11"/>
      <c r="F59" s="11"/>
      <c r="L59" s="4"/>
      <c r="O59" s="4"/>
      <c r="R59" s="4"/>
      <c r="U59" s="4"/>
    </row>
    <row r="60" spans="2:21" s="5" customFormat="1">
      <c r="B60" s="1"/>
      <c r="C60" s="3"/>
      <c r="D60" s="11"/>
      <c r="E60" s="11"/>
      <c r="F60" s="11"/>
      <c r="L60" s="4"/>
      <c r="O60" s="4"/>
      <c r="R60" s="4"/>
      <c r="U60" s="4"/>
    </row>
    <row r="61" spans="2:21">
      <c r="B61" s="1"/>
      <c r="K61" s="5"/>
      <c r="L61" s="4"/>
      <c r="M61" s="5"/>
      <c r="O61" s="4"/>
      <c r="R61" s="4"/>
      <c r="U61" s="4"/>
    </row>
    <row r="62" spans="2:21">
      <c r="B62" s="1"/>
      <c r="K62" s="5"/>
      <c r="L62" s="1"/>
      <c r="M62" s="5"/>
      <c r="O62" s="1"/>
      <c r="R62" s="1"/>
      <c r="U62" s="1"/>
    </row>
    <row r="63" spans="2:21">
      <c r="B63" s="1"/>
      <c r="K63" s="5"/>
      <c r="L63" s="1"/>
      <c r="M63" s="5"/>
      <c r="O63" s="1"/>
      <c r="R63" s="1"/>
      <c r="U63" s="1"/>
    </row>
    <row r="64" spans="2:21">
      <c r="B64" s="1"/>
      <c r="L64" s="1"/>
      <c r="O64" s="1"/>
      <c r="R64" s="1"/>
      <c r="U64" s="1"/>
    </row>
    <row r="65" spans="2:21">
      <c r="B65" s="1"/>
      <c r="L65" s="1"/>
      <c r="O65" s="1"/>
      <c r="R65" s="1"/>
      <c r="U65" s="1"/>
    </row>
    <row r="66" spans="2:21">
      <c r="B66" s="1"/>
      <c r="L66" s="1"/>
      <c r="O66" s="1"/>
      <c r="R66" s="1"/>
      <c r="U66" s="1"/>
    </row>
    <row r="67" spans="2:21">
      <c r="B67" s="1"/>
      <c r="L67" s="1"/>
      <c r="O67" s="1"/>
      <c r="R67" s="1"/>
      <c r="U67" s="1"/>
    </row>
    <row r="68" spans="2:21">
      <c r="B68" s="1"/>
      <c r="L68" s="1"/>
      <c r="O68" s="1"/>
      <c r="R68" s="1"/>
      <c r="U68" s="1"/>
    </row>
    <row r="69" spans="2:21">
      <c r="B69" s="1"/>
      <c r="L69" s="1"/>
      <c r="O69" s="1"/>
      <c r="R69" s="1"/>
      <c r="U69" s="1"/>
    </row>
    <row r="70" spans="2:21">
      <c r="B70" s="1"/>
      <c r="L70" s="1"/>
      <c r="O70" s="1"/>
      <c r="R70" s="1"/>
      <c r="U70" s="1"/>
    </row>
    <row r="71" spans="2:21">
      <c r="B71" s="1"/>
      <c r="L71" s="1"/>
      <c r="O71" s="1"/>
      <c r="R71" s="1"/>
      <c r="U71" s="1"/>
    </row>
    <row r="72" spans="2:21">
      <c r="L72" s="1"/>
      <c r="O72" s="1"/>
      <c r="R72" s="1"/>
      <c r="U72" s="1"/>
    </row>
    <row r="73" spans="2:21">
      <c r="L73" s="1"/>
      <c r="O73" s="1"/>
      <c r="R73" s="1"/>
      <c r="U73" s="1"/>
    </row>
    <row r="74" spans="2:21">
      <c r="L74" s="1"/>
      <c r="O74" s="1"/>
      <c r="R74" s="1"/>
      <c r="U74" s="1"/>
    </row>
  </sheetData>
  <pageMargins left="0.7" right="0.7" top="0.75" bottom="0.75" header="0.3" footer="0.3"/>
  <pageSetup orientation="portrait" horizontalDpi="203" verticalDpi="20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BD1B-139A-49ED-BC5C-2A23544E4A31}">
  <dimension ref="A1:Z71"/>
  <sheetViews>
    <sheetView workbookViewId="0">
      <pane ySplit="2" topLeftCell="A37" activePane="bottomLeft" state="frozen"/>
      <selection pane="bottomLeft" activeCell="G37" sqref="G37"/>
      <selection activeCell="C1" sqref="C1"/>
    </sheetView>
  </sheetViews>
  <sheetFormatPr defaultColWidth="8.85546875" defaultRowHeight="15.95"/>
  <cols>
    <col min="1" max="1" width="12.7109375" style="3" customWidth="1"/>
    <col min="2" max="2" width="8.85546875" style="3"/>
    <col min="3" max="3" width="27" style="3" customWidth="1"/>
    <col min="4" max="4" width="8.85546875" style="3" customWidth="1"/>
    <col min="5" max="5" width="18.140625" style="13" customWidth="1"/>
    <col min="6" max="6" width="1.85546875" style="13" customWidth="1"/>
    <col min="7" max="7" width="20" style="60" customWidth="1"/>
    <col min="8" max="8" width="2.7109375" style="3" customWidth="1"/>
    <col min="9" max="9" width="12.5703125" style="3" customWidth="1"/>
    <col min="10" max="10" width="17.5703125" style="58" customWidth="1"/>
    <col min="11" max="11" width="13.7109375" style="3" customWidth="1"/>
    <col min="12" max="12" width="2.42578125" style="3" customWidth="1"/>
    <col min="13" max="13" width="8.85546875" style="3"/>
    <col min="14" max="14" width="13.7109375" style="3" customWidth="1"/>
    <col min="15" max="15" width="2.7109375" style="3" customWidth="1"/>
    <col min="16" max="16" width="8.85546875" style="3"/>
    <col min="17" max="17" width="13.7109375" style="3" customWidth="1"/>
    <col min="18" max="18" width="2.7109375" style="3" customWidth="1"/>
    <col min="19" max="19" width="8.85546875" style="3"/>
    <col min="20" max="20" width="11.42578125" style="3" customWidth="1"/>
    <col min="21" max="21" width="2.140625" style="3" customWidth="1"/>
    <col min="22" max="22" width="8.85546875" style="3"/>
    <col min="23" max="23" width="11.42578125" style="3" customWidth="1"/>
    <col min="24" max="24" width="32.5703125" style="3" customWidth="1"/>
    <col min="25" max="25" width="21.42578125" style="3" customWidth="1"/>
    <col min="26" max="16384" width="8.85546875" style="3"/>
  </cols>
  <sheetData>
    <row r="1" spans="1:26" s="5" customFormat="1">
      <c r="A1" s="4" t="s">
        <v>560</v>
      </c>
      <c r="E1" s="11"/>
      <c r="F1" s="11"/>
      <c r="G1" s="59"/>
      <c r="J1" s="57"/>
      <c r="M1" s="4"/>
      <c r="P1" s="4"/>
      <c r="S1" s="4"/>
      <c r="V1" s="4"/>
    </row>
    <row r="2" spans="1:26" s="5" customFormat="1" ht="47.65">
      <c r="B2" s="4"/>
      <c r="C2" s="5" t="s">
        <v>777</v>
      </c>
      <c r="D2" s="5" t="s">
        <v>778</v>
      </c>
      <c r="E2" s="12" t="s">
        <v>67</v>
      </c>
      <c r="F2" s="12"/>
      <c r="G2" s="59" t="s">
        <v>68</v>
      </c>
      <c r="H2" s="6"/>
      <c r="I2" s="6" t="s">
        <v>5</v>
      </c>
      <c r="J2" s="57" t="s">
        <v>1</v>
      </c>
      <c r="K2" s="7" t="s">
        <v>591</v>
      </c>
      <c r="L2" s="6"/>
      <c r="M2" s="17"/>
      <c r="N2" s="7" t="s">
        <v>193</v>
      </c>
      <c r="P2" s="17"/>
      <c r="Q2" s="7" t="s">
        <v>69</v>
      </c>
      <c r="S2" s="17"/>
      <c r="T2" s="7" t="s">
        <v>70</v>
      </c>
      <c r="V2" s="17"/>
      <c r="W2" s="7" t="s">
        <v>71</v>
      </c>
      <c r="X2" s="6" t="s">
        <v>72</v>
      </c>
      <c r="Y2" s="5" t="s">
        <v>592</v>
      </c>
      <c r="Z2" s="5" t="s">
        <v>593</v>
      </c>
    </row>
    <row r="3" spans="1:26" s="5" customFormat="1">
      <c r="A3" s="4" t="s">
        <v>73</v>
      </c>
      <c r="E3" s="11"/>
      <c r="F3" s="11"/>
      <c r="G3" s="59"/>
      <c r="J3" s="57"/>
    </row>
    <row r="4" spans="1:26">
      <c r="B4" s="1"/>
      <c r="M4" s="1"/>
      <c r="P4" s="1"/>
      <c r="S4" s="1"/>
      <c r="V4" s="1"/>
    </row>
    <row r="5" spans="1:26">
      <c r="A5" s="20"/>
      <c r="B5" s="20"/>
      <c r="C5" s="20" t="s">
        <v>779</v>
      </c>
      <c r="D5" s="20"/>
      <c r="E5" s="13">
        <v>150</v>
      </c>
      <c r="M5" s="1"/>
      <c r="P5" s="1"/>
      <c r="S5" s="1"/>
      <c r="V5" s="1"/>
    </row>
    <row r="6" spans="1:26">
      <c r="A6" s="20"/>
      <c r="B6" s="20"/>
      <c r="C6" s="20" t="s">
        <v>562</v>
      </c>
      <c r="D6" s="20"/>
      <c r="M6" s="8" t="b">
        <v>0</v>
      </c>
      <c r="P6" s="8" t="b">
        <v>0</v>
      </c>
      <c r="S6" s="8" t="b">
        <v>0</v>
      </c>
      <c r="V6" s="8" t="b">
        <v>0</v>
      </c>
    </row>
    <row r="7" spans="1:26">
      <c r="A7" s="20"/>
      <c r="B7" s="20"/>
      <c r="C7" s="20"/>
      <c r="D7" s="20"/>
      <c r="M7" s="8" t="b">
        <v>0</v>
      </c>
      <c r="N7" s="10"/>
      <c r="P7" s="8" t="b">
        <v>0</v>
      </c>
      <c r="Q7" s="10"/>
      <c r="S7" s="8" t="b">
        <v>0</v>
      </c>
      <c r="V7" s="8" t="b">
        <v>0</v>
      </c>
    </row>
    <row r="8" spans="1:26">
      <c r="A8" s="20"/>
      <c r="B8" s="20"/>
      <c r="C8" s="20"/>
      <c r="D8" s="20"/>
      <c r="M8" s="8" t="b">
        <v>0</v>
      </c>
      <c r="P8" s="8" t="b">
        <v>0</v>
      </c>
      <c r="S8" s="8" t="b">
        <v>0</v>
      </c>
      <c r="V8" s="8" t="b">
        <v>0</v>
      </c>
    </row>
    <row r="9" spans="1:26">
      <c r="A9" s="20"/>
      <c r="B9" s="20"/>
      <c r="C9" s="20"/>
      <c r="D9" s="20"/>
      <c r="M9" s="8" t="b">
        <v>0</v>
      </c>
      <c r="P9" s="8" t="b">
        <v>0</v>
      </c>
      <c r="S9" s="8" t="b">
        <v>0</v>
      </c>
      <c r="V9" s="8" t="b">
        <v>0</v>
      </c>
    </row>
    <row r="10" spans="1:26">
      <c r="A10" s="20"/>
      <c r="B10" s="20"/>
      <c r="C10" s="20"/>
      <c r="D10" s="20"/>
      <c r="M10" s="8" t="b">
        <v>0</v>
      </c>
      <c r="P10" s="8" t="b">
        <v>0</v>
      </c>
      <c r="Q10" s="10"/>
      <c r="S10" s="8" t="b">
        <v>0</v>
      </c>
      <c r="V10" s="8" t="b">
        <v>0</v>
      </c>
    </row>
    <row r="11" spans="1:26">
      <c r="A11" s="20" t="s">
        <v>780</v>
      </c>
      <c r="B11" s="20"/>
      <c r="C11" s="20" t="s">
        <v>781</v>
      </c>
      <c r="D11" s="56" t="s">
        <v>782</v>
      </c>
      <c r="E11" s="13">
        <v>1200</v>
      </c>
      <c r="G11" s="60">
        <v>968.05</v>
      </c>
      <c r="I11" s="3" t="s">
        <v>6</v>
      </c>
      <c r="J11" s="58" t="s">
        <v>783</v>
      </c>
      <c r="M11" s="8" t="b">
        <v>0</v>
      </c>
      <c r="N11" s="10"/>
      <c r="P11" s="8" t="b">
        <v>0</v>
      </c>
      <c r="Q11" s="10">
        <v>45863</v>
      </c>
      <c r="S11" s="8" t="b">
        <v>1</v>
      </c>
      <c r="T11" s="10"/>
      <c r="V11" s="8" t="b">
        <v>0</v>
      </c>
    </row>
    <row r="12" spans="1:26">
      <c r="A12" s="20"/>
      <c r="B12" s="20"/>
      <c r="C12" s="20" t="s">
        <v>784</v>
      </c>
      <c r="D12" s="56" t="s">
        <v>785</v>
      </c>
      <c r="I12" s="3" t="s">
        <v>786</v>
      </c>
      <c r="J12" s="58">
        <v>2570</v>
      </c>
      <c r="M12" s="8" t="b">
        <v>0</v>
      </c>
      <c r="N12" s="10"/>
      <c r="P12" s="8" t="b">
        <v>0</v>
      </c>
      <c r="Q12" s="10">
        <v>45863</v>
      </c>
      <c r="S12" s="8" t="b">
        <v>1</v>
      </c>
      <c r="T12" s="10"/>
      <c r="V12" s="8" t="b">
        <v>0</v>
      </c>
    </row>
    <row r="13" spans="1:26" ht="19.149999999999999" customHeight="1">
      <c r="A13" s="20"/>
      <c r="B13" s="20"/>
      <c r="C13" s="20" t="s">
        <v>787</v>
      </c>
      <c r="D13" s="56" t="s">
        <v>788</v>
      </c>
      <c r="I13" s="3" t="s">
        <v>6</v>
      </c>
      <c r="J13" s="58" t="s">
        <v>789</v>
      </c>
      <c r="M13" s="8" t="b">
        <v>0</v>
      </c>
      <c r="N13" s="10"/>
      <c r="P13" s="8" t="b">
        <v>0</v>
      </c>
      <c r="Q13" s="10">
        <v>45863</v>
      </c>
      <c r="S13" s="8" t="b">
        <v>1</v>
      </c>
      <c r="T13" s="10"/>
      <c r="V13" s="8" t="b">
        <v>0</v>
      </c>
    </row>
    <row r="14" spans="1:26">
      <c r="C14" s="3" t="s">
        <v>790</v>
      </c>
      <c r="E14" s="3"/>
      <c r="F14" s="3"/>
      <c r="I14" s="3" t="s">
        <v>8</v>
      </c>
    </row>
    <row r="15" spans="1:26">
      <c r="A15" s="20"/>
      <c r="B15" s="20"/>
      <c r="C15" s="20" t="s">
        <v>791</v>
      </c>
      <c r="D15" s="56" t="s">
        <v>792</v>
      </c>
      <c r="G15" s="60">
        <v>834.07</v>
      </c>
      <c r="I15" s="3" t="s">
        <v>8</v>
      </c>
      <c r="J15" s="58" t="s">
        <v>793</v>
      </c>
      <c r="K15" s="10"/>
      <c r="M15" s="8" t="b">
        <v>0</v>
      </c>
      <c r="N15" s="10"/>
      <c r="P15" s="8" t="b">
        <v>0</v>
      </c>
      <c r="Q15" s="10">
        <v>45863</v>
      </c>
      <c r="S15" s="8" t="b">
        <v>1</v>
      </c>
      <c r="T15" s="10"/>
      <c r="V15" s="8" t="b">
        <v>0</v>
      </c>
    </row>
    <row r="16" spans="1:26">
      <c r="A16" s="20"/>
      <c r="B16" s="20"/>
      <c r="C16" s="20"/>
      <c r="D16" s="20"/>
      <c r="K16" s="10"/>
      <c r="M16" s="8" t="b">
        <v>0</v>
      </c>
      <c r="N16" s="10"/>
      <c r="P16" s="8" t="b">
        <v>0</v>
      </c>
      <c r="Q16" s="10"/>
      <c r="S16" s="8" t="b">
        <v>0</v>
      </c>
      <c r="T16" s="10"/>
      <c r="V16" s="8" t="b">
        <v>0</v>
      </c>
    </row>
    <row r="17" spans="1:22">
      <c r="A17" s="20"/>
      <c r="B17" s="20"/>
      <c r="C17" s="20"/>
      <c r="D17" s="20"/>
      <c r="K17" s="10"/>
      <c r="Q17" s="10"/>
      <c r="S17" s="1"/>
      <c r="V17" s="1"/>
    </row>
    <row r="18" spans="1:22">
      <c r="A18" s="20" t="s">
        <v>794</v>
      </c>
      <c r="B18" s="20"/>
      <c r="C18" s="20" t="s">
        <v>795</v>
      </c>
      <c r="D18" s="20"/>
      <c r="E18" s="13">
        <v>2500</v>
      </c>
      <c r="G18" s="60">
        <v>1766.64</v>
      </c>
      <c r="M18" s="18"/>
      <c r="N18" s="3" t="s">
        <v>796</v>
      </c>
      <c r="P18" s="18"/>
      <c r="Q18" s="10">
        <v>45838</v>
      </c>
      <c r="S18" s="18"/>
      <c r="V18" s="18"/>
    </row>
    <row r="19" spans="1:22">
      <c r="A19" s="20"/>
      <c r="B19" s="20"/>
      <c r="C19" s="20" t="s">
        <v>797</v>
      </c>
      <c r="D19" s="20"/>
      <c r="M19" s="8" t="b">
        <v>0</v>
      </c>
      <c r="N19" s="10"/>
      <c r="P19" s="8" t="b">
        <v>0</v>
      </c>
      <c r="Q19" s="10">
        <v>45838</v>
      </c>
      <c r="S19" s="8" t="b">
        <v>0</v>
      </c>
      <c r="V19" s="8" t="b">
        <v>0</v>
      </c>
    </row>
    <row r="20" spans="1:22">
      <c r="B20" s="20"/>
      <c r="C20" s="20"/>
      <c r="D20" s="21"/>
      <c r="M20" s="1"/>
      <c r="N20" s="10"/>
      <c r="P20" s="8" t="b">
        <v>0</v>
      </c>
      <c r="Q20" s="10"/>
      <c r="S20" s="8" t="b">
        <v>0</v>
      </c>
      <c r="V20" s="1"/>
    </row>
    <row r="21" spans="1:22">
      <c r="A21" s="20"/>
      <c r="B21" s="20"/>
      <c r="C21" s="20" t="s">
        <v>798</v>
      </c>
      <c r="D21" s="20"/>
      <c r="E21" s="13">
        <v>2300</v>
      </c>
      <c r="G21" s="62">
        <v>1078.3499999999999</v>
      </c>
      <c r="I21" s="3" t="s">
        <v>799</v>
      </c>
      <c r="M21" s="8" t="b">
        <v>0</v>
      </c>
      <c r="N21" s="10"/>
      <c r="P21" s="8" t="b">
        <v>0</v>
      </c>
      <c r="Q21" s="10"/>
      <c r="S21" s="8" t="b">
        <v>0</v>
      </c>
      <c r="V21" s="8" t="b">
        <v>0</v>
      </c>
    </row>
    <row r="22" spans="1:22">
      <c r="A22" s="20"/>
      <c r="B22" s="20"/>
      <c r="C22" s="20" t="s">
        <v>800</v>
      </c>
      <c r="D22" s="20"/>
      <c r="G22" s="62">
        <v>630</v>
      </c>
      <c r="I22" s="3" t="s">
        <v>599</v>
      </c>
      <c r="M22" s="8" t="b">
        <v>0</v>
      </c>
      <c r="N22" s="10"/>
      <c r="P22" s="8" t="b">
        <v>0</v>
      </c>
      <c r="Q22" s="10">
        <v>45875</v>
      </c>
      <c r="S22" s="8" t="b">
        <v>1</v>
      </c>
      <c r="V22" s="8" t="b">
        <v>0</v>
      </c>
    </row>
    <row r="23" spans="1:22">
      <c r="A23" s="20"/>
      <c r="B23" s="20"/>
      <c r="C23" s="20" t="s">
        <v>801</v>
      </c>
      <c r="D23" s="20"/>
      <c r="I23" s="3" t="s">
        <v>8</v>
      </c>
      <c r="M23" s="8" t="b">
        <v>0</v>
      </c>
      <c r="N23" s="10"/>
      <c r="P23" s="8" t="b">
        <v>0</v>
      </c>
      <c r="Q23" s="10">
        <v>45868</v>
      </c>
      <c r="S23" s="8" t="b">
        <v>1</v>
      </c>
      <c r="V23" s="8" t="b">
        <v>0</v>
      </c>
    </row>
    <row r="24" spans="1:22">
      <c r="A24" s="20"/>
      <c r="B24" s="20"/>
      <c r="C24" s="20"/>
      <c r="D24" s="20"/>
      <c r="M24" s="1"/>
      <c r="N24" s="10"/>
      <c r="P24" s="1"/>
      <c r="Q24" s="10"/>
      <c r="S24" s="1"/>
      <c r="V24" s="1"/>
    </row>
    <row r="25" spans="1:22">
      <c r="A25" s="20"/>
      <c r="B25" s="20"/>
      <c r="C25" s="20" t="s">
        <v>802</v>
      </c>
      <c r="D25" s="20"/>
      <c r="E25" s="13">
        <v>150</v>
      </c>
      <c r="I25" s="3" t="s">
        <v>803</v>
      </c>
      <c r="K25" s="10"/>
      <c r="M25" s="8" t="b">
        <v>0</v>
      </c>
      <c r="N25" s="10"/>
      <c r="P25" s="8" t="b">
        <v>1</v>
      </c>
      <c r="Q25" s="10">
        <v>45868</v>
      </c>
      <c r="S25" s="8" t="b">
        <v>1</v>
      </c>
      <c r="T25" s="10"/>
      <c r="V25" s="8" t="b">
        <v>0</v>
      </c>
    </row>
    <row r="26" spans="1:22">
      <c r="A26" s="20"/>
      <c r="B26" s="20"/>
      <c r="C26" s="20"/>
      <c r="D26" s="20"/>
      <c r="K26" s="10"/>
      <c r="M26" s="8" t="b">
        <v>0</v>
      </c>
      <c r="N26" s="10"/>
      <c r="P26" s="8" t="b">
        <v>0</v>
      </c>
      <c r="Q26" s="10"/>
      <c r="S26" s="8" t="b">
        <v>0</v>
      </c>
      <c r="V26" s="1"/>
    </row>
    <row r="27" spans="1:22">
      <c r="A27" s="20"/>
      <c r="B27" s="20"/>
      <c r="C27" s="20" t="s">
        <v>324</v>
      </c>
      <c r="D27" s="20"/>
      <c r="E27" s="13">
        <v>200</v>
      </c>
      <c r="I27" s="3" t="s">
        <v>8</v>
      </c>
      <c r="M27" s="8" t="b">
        <v>0</v>
      </c>
      <c r="N27" s="10"/>
      <c r="P27" s="8" t="b">
        <v>0</v>
      </c>
      <c r="Q27" s="10">
        <v>45868</v>
      </c>
      <c r="S27" s="8" t="b">
        <v>1</v>
      </c>
      <c r="V27" s="8" t="b">
        <v>0</v>
      </c>
    </row>
    <row r="28" spans="1:22">
      <c r="A28" s="20"/>
      <c r="B28" s="20"/>
      <c r="C28" s="20"/>
      <c r="D28" s="20"/>
      <c r="M28" s="8" t="b">
        <v>0</v>
      </c>
      <c r="N28" s="10"/>
      <c r="P28" s="8" t="b">
        <v>0</v>
      </c>
      <c r="Q28" s="10"/>
      <c r="S28" s="8" t="b">
        <v>0</v>
      </c>
      <c r="V28" s="8" t="b">
        <v>0</v>
      </c>
    </row>
    <row r="29" spans="1:22">
      <c r="A29" s="20"/>
      <c r="B29" s="20"/>
      <c r="C29" s="20"/>
      <c r="D29" s="20"/>
      <c r="M29" s="1"/>
      <c r="N29" s="10"/>
      <c r="P29" s="1"/>
      <c r="S29" s="1"/>
      <c r="V29" s="1"/>
    </row>
    <row r="30" spans="1:22">
      <c r="A30" s="20"/>
      <c r="B30" s="20"/>
      <c r="C30" s="20"/>
      <c r="D30" s="20"/>
      <c r="M30" s="1"/>
      <c r="N30" s="10"/>
      <c r="P30" s="8" t="b">
        <v>0</v>
      </c>
      <c r="S30" s="8" t="b">
        <v>0</v>
      </c>
      <c r="V30" s="1"/>
    </row>
    <row r="31" spans="1:22">
      <c r="A31" s="20"/>
      <c r="B31" s="20"/>
      <c r="C31" s="20"/>
      <c r="D31" s="20"/>
      <c r="M31" s="1"/>
      <c r="N31" s="10"/>
      <c r="P31" s="1"/>
      <c r="S31" s="1"/>
      <c r="V31" s="1"/>
    </row>
    <row r="32" spans="1:22">
      <c r="A32" s="20"/>
      <c r="B32" s="20"/>
      <c r="C32" s="20"/>
      <c r="D32" s="20"/>
      <c r="F32" s="26"/>
      <c r="G32" s="61"/>
      <c r="H32" s="22"/>
      <c r="I32" s="22"/>
      <c r="M32" s="18"/>
      <c r="P32" s="18"/>
      <c r="S32" s="18"/>
      <c r="V32" s="18"/>
    </row>
    <row r="33" spans="1:22">
      <c r="A33" s="20"/>
      <c r="B33" s="20"/>
      <c r="C33" s="20"/>
      <c r="D33" s="20"/>
      <c r="M33" s="18"/>
      <c r="P33" s="18"/>
      <c r="S33" s="18"/>
      <c r="V33" s="18"/>
    </row>
    <row r="34" spans="1:22">
      <c r="A34" s="20"/>
      <c r="B34" s="20"/>
      <c r="C34" s="20"/>
      <c r="D34" s="20"/>
      <c r="M34" s="1"/>
      <c r="N34" s="10"/>
      <c r="P34" s="1"/>
      <c r="S34" s="1"/>
      <c r="V34" s="1"/>
    </row>
    <row r="35" spans="1:22">
      <c r="A35" s="20"/>
      <c r="B35" s="20"/>
      <c r="C35" s="20"/>
      <c r="D35" s="20"/>
      <c r="M35" s="1"/>
      <c r="P35" s="1"/>
      <c r="S35" s="1"/>
      <c r="V35" s="1"/>
    </row>
    <row r="36" spans="1:22" s="5" customFormat="1">
      <c r="B36" s="4"/>
      <c r="E36" s="11">
        <f>SUM(E7:E35)</f>
        <v>6350</v>
      </c>
      <c r="F36" s="11"/>
      <c r="G36" s="59">
        <f>SUM(G2:G35)</f>
        <v>5277.1100000000006</v>
      </c>
      <c r="J36" s="57"/>
      <c r="L36" s="3"/>
      <c r="M36" s="1"/>
      <c r="N36" s="3"/>
      <c r="P36" s="1"/>
      <c r="S36" s="1"/>
      <c r="V36" s="1"/>
    </row>
    <row r="37" spans="1:22" s="5" customFormat="1">
      <c r="B37" s="4"/>
      <c r="E37" s="11"/>
      <c r="F37" s="11"/>
      <c r="G37" s="59"/>
      <c r="J37" s="57"/>
      <c r="L37" s="3"/>
      <c r="M37" s="1"/>
      <c r="N37" s="3"/>
      <c r="P37" s="1"/>
      <c r="S37" s="1"/>
      <c r="V37" s="1"/>
    </row>
    <row r="38" spans="1:22" s="5" customFormat="1">
      <c r="B38" s="1"/>
      <c r="C38" s="3"/>
      <c r="D38" s="3"/>
      <c r="E38" s="11"/>
      <c r="F38" s="11"/>
      <c r="G38" s="59"/>
      <c r="J38" s="57"/>
      <c r="L38" s="3"/>
      <c r="M38" s="1"/>
      <c r="N38" s="3"/>
      <c r="P38" s="1"/>
      <c r="S38" s="1"/>
      <c r="V38" s="1"/>
    </row>
    <row r="39" spans="1:22" s="5" customFormat="1">
      <c r="B39" s="1"/>
      <c r="C39" s="3"/>
      <c r="D39" s="3"/>
      <c r="E39" s="11"/>
      <c r="F39" s="11"/>
      <c r="G39" s="59"/>
      <c r="J39" s="57"/>
      <c r="L39" s="3"/>
      <c r="M39" s="1"/>
      <c r="N39" s="3"/>
      <c r="P39" s="1"/>
      <c r="S39" s="1"/>
      <c r="V39" s="1"/>
    </row>
    <row r="40" spans="1:22" s="5" customFormat="1">
      <c r="B40" s="1"/>
      <c r="C40" s="3"/>
      <c r="D40" s="3"/>
      <c r="E40" s="11"/>
      <c r="F40" s="11"/>
      <c r="G40" s="59"/>
      <c r="J40" s="57"/>
      <c r="L40" s="3"/>
      <c r="M40" s="1"/>
      <c r="N40" s="3"/>
      <c r="P40" s="1"/>
      <c r="S40" s="1"/>
      <c r="V40" s="1"/>
    </row>
    <row r="41" spans="1:22" s="5" customFormat="1">
      <c r="B41" s="1"/>
      <c r="C41" s="3"/>
      <c r="D41" s="3"/>
      <c r="E41" s="11"/>
      <c r="F41" s="11"/>
      <c r="G41" s="59"/>
      <c r="J41" s="57"/>
      <c r="L41" s="3"/>
      <c r="M41" s="1"/>
      <c r="N41" s="3"/>
      <c r="P41" s="1"/>
      <c r="S41" s="1"/>
      <c r="V41" s="1"/>
    </row>
    <row r="42" spans="1:22">
      <c r="B42" s="1"/>
      <c r="M42" s="1"/>
      <c r="P42" s="1"/>
      <c r="S42" s="1"/>
      <c r="V42" s="1"/>
    </row>
    <row r="43" spans="1:22">
      <c r="B43" s="1"/>
      <c r="M43" s="1"/>
      <c r="P43" s="1"/>
      <c r="S43" s="1"/>
      <c r="V43" s="1"/>
    </row>
    <row r="44" spans="1:22">
      <c r="B44" s="1"/>
      <c r="M44" s="1"/>
      <c r="P44" s="1"/>
      <c r="S44" s="1"/>
      <c r="V44" s="1"/>
    </row>
    <row r="45" spans="1:22">
      <c r="B45" s="1"/>
      <c r="M45" s="1"/>
      <c r="P45" s="1"/>
      <c r="S45" s="1"/>
      <c r="V45" s="1"/>
    </row>
    <row r="46" spans="1:22">
      <c r="B46" s="1"/>
      <c r="M46" s="1"/>
      <c r="P46" s="1"/>
      <c r="S46" s="1"/>
      <c r="V46" s="1"/>
    </row>
    <row r="47" spans="1:22">
      <c r="B47" s="18"/>
      <c r="M47" s="1"/>
      <c r="P47" s="1"/>
      <c r="S47" s="1"/>
      <c r="V47" s="1"/>
    </row>
    <row r="48" spans="1:22">
      <c r="B48" s="1"/>
      <c r="L48" s="5"/>
      <c r="M48" s="1"/>
      <c r="N48" s="5"/>
      <c r="P48" s="1"/>
      <c r="S48" s="1"/>
      <c r="V48" s="1"/>
    </row>
    <row r="49" spans="2:22">
      <c r="B49" s="1"/>
      <c r="L49" s="5"/>
      <c r="M49" s="1"/>
      <c r="N49" s="5"/>
      <c r="P49" s="1"/>
      <c r="S49" s="1"/>
      <c r="V49" s="1"/>
    </row>
    <row r="50" spans="2:22">
      <c r="B50" s="1"/>
      <c r="L50" s="5"/>
      <c r="M50" s="1"/>
      <c r="N50" s="5"/>
      <c r="P50" s="1"/>
      <c r="S50" s="1"/>
      <c r="V50" s="1"/>
    </row>
    <row r="51" spans="2:22">
      <c r="B51" s="1"/>
      <c r="L51" s="5"/>
      <c r="M51" s="1"/>
      <c r="N51" s="5"/>
      <c r="P51" s="1"/>
      <c r="S51" s="1"/>
      <c r="V51" s="1"/>
    </row>
    <row r="52" spans="2:22">
      <c r="B52" s="1"/>
      <c r="M52" s="1"/>
      <c r="P52" s="1"/>
      <c r="S52" s="1"/>
      <c r="V52" s="1"/>
    </row>
    <row r="53" spans="2:22">
      <c r="B53" s="1"/>
      <c r="M53" s="2"/>
      <c r="P53" s="2"/>
      <c r="S53" s="2"/>
      <c r="V53" s="2"/>
    </row>
    <row r="54" spans="2:22" s="5" customFormat="1">
      <c r="B54" s="4"/>
      <c r="E54" s="11"/>
      <c r="F54" s="11"/>
      <c r="G54" s="59"/>
      <c r="J54" s="57"/>
      <c r="M54" s="14"/>
      <c r="P54" s="14"/>
      <c r="S54" s="14"/>
      <c r="V54" s="14"/>
    </row>
    <row r="55" spans="2:22" s="5" customFormat="1">
      <c r="B55" s="4"/>
      <c r="E55" s="11"/>
      <c r="F55" s="11"/>
      <c r="G55" s="59"/>
      <c r="J55" s="57"/>
      <c r="L55" s="3"/>
      <c r="M55" s="2"/>
      <c r="N55" s="3"/>
      <c r="P55" s="2"/>
      <c r="S55" s="2"/>
      <c r="V55" s="2"/>
    </row>
    <row r="56" spans="2:22" s="5" customFormat="1">
      <c r="B56" s="1"/>
      <c r="C56" s="3"/>
      <c r="D56" s="3"/>
      <c r="E56" s="11"/>
      <c r="F56" s="11"/>
      <c r="G56" s="59"/>
      <c r="J56" s="57"/>
      <c r="M56" s="4"/>
      <c r="P56" s="4"/>
      <c r="S56" s="4"/>
      <c r="V56" s="4"/>
    </row>
    <row r="57" spans="2:22" s="5" customFormat="1">
      <c r="B57" s="1"/>
      <c r="C57" s="3"/>
      <c r="D57" s="3"/>
      <c r="E57" s="11"/>
      <c r="F57" s="11"/>
      <c r="G57" s="59"/>
      <c r="J57" s="57"/>
      <c r="M57" s="4"/>
      <c r="P57" s="4"/>
      <c r="S57" s="4"/>
      <c r="V57" s="4"/>
    </row>
    <row r="58" spans="2:22">
      <c r="B58" s="1"/>
      <c r="L58" s="5"/>
      <c r="M58" s="4"/>
      <c r="N58" s="5"/>
      <c r="P58" s="4"/>
      <c r="S58" s="4"/>
      <c r="V58" s="4"/>
    </row>
    <row r="59" spans="2:22">
      <c r="B59" s="1"/>
      <c r="L59" s="5"/>
      <c r="M59" s="1"/>
      <c r="N59" s="5"/>
      <c r="P59" s="1"/>
      <c r="S59" s="1"/>
      <c r="V59" s="1"/>
    </row>
    <row r="60" spans="2:22">
      <c r="B60" s="1"/>
      <c r="L60" s="5"/>
      <c r="M60" s="1"/>
      <c r="N60" s="5"/>
      <c r="P60" s="1"/>
      <c r="S60" s="1"/>
      <c r="V60" s="1"/>
    </row>
    <row r="61" spans="2:22">
      <c r="B61" s="1"/>
      <c r="M61" s="1"/>
      <c r="P61" s="1"/>
      <c r="S61" s="1"/>
      <c r="V61" s="1"/>
    </row>
    <row r="62" spans="2:22">
      <c r="B62" s="1"/>
      <c r="M62" s="1"/>
      <c r="P62" s="1"/>
      <c r="S62" s="1"/>
      <c r="V62" s="1"/>
    </row>
    <row r="63" spans="2:22">
      <c r="B63" s="1"/>
      <c r="M63" s="1"/>
      <c r="P63" s="1"/>
      <c r="S63" s="1"/>
      <c r="V63" s="1"/>
    </row>
    <row r="64" spans="2:22">
      <c r="B64" s="1"/>
      <c r="M64" s="1"/>
      <c r="P64" s="1"/>
      <c r="S64" s="1"/>
      <c r="V64" s="1"/>
    </row>
    <row r="65" spans="2:22">
      <c r="B65" s="1"/>
      <c r="M65" s="1"/>
      <c r="P65" s="1"/>
      <c r="S65" s="1"/>
      <c r="V65" s="1"/>
    </row>
    <row r="66" spans="2:22">
      <c r="B66" s="1"/>
      <c r="M66" s="1"/>
      <c r="P66" s="1"/>
      <c r="S66" s="1"/>
      <c r="V66" s="1"/>
    </row>
    <row r="67" spans="2:22">
      <c r="B67" s="1"/>
      <c r="M67" s="1"/>
      <c r="P67" s="1"/>
      <c r="S67" s="1"/>
      <c r="V67" s="1"/>
    </row>
    <row r="68" spans="2:22">
      <c r="B68" s="1"/>
      <c r="M68" s="1"/>
      <c r="P68" s="1"/>
      <c r="S68" s="1"/>
      <c r="V68" s="1"/>
    </row>
    <row r="69" spans="2:22">
      <c r="M69" s="1"/>
      <c r="P69" s="1"/>
      <c r="S69" s="1"/>
      <c r="V69" s="1"/>
    </row>
    <row r="70" spans="2:22">
      <c r="M70" s="1"/>
      <c r="P70" s="1"/>
      <c r="S70" s="1"/>
      <c r="V70" s="1"/>
    </row>
    <row r="71" spans="2:22">
      <c r="M71" s="1"/>
      <c r="P71" s="1"/>
      <c r="S71" s="1"/>
      <c r="V71" s="1"/>
    </row>
  </sheetData>
  <hyperlinks>
    <hyperlink ref="D11" r:id="rId1" xr:uid="{E38C7A46-3402-461F-A2AE-21BCEB92BCAF}"/>
    <hyperlink ref="D13" r:id="rId2" xr:uid="{9B12080D-7992-46CF-898D-BC686351F46F}"/>
    <hyperlink ref="D12" r:id="rId3" xr:uid="{471475A5-B57D-4151-9BD5-772C9602987B}"/>
    <hyperlink ref="D15" r:id="rId4" xr:uid="{B08C43B4-13B3-4E3A-AD6D-47322854F118}"/>
  </hyperlinks>
  <pageMargins left="0.7" right="0.7" top="0.75" bottom="0.75" header="0.3" footer="0.3"/>
  <pageSetup orientation="portrait" horizontalDpi="203" verticalDpi="203" r:id="rId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2AE3-E881-4FBD-8C50-F09F37E0ECAB}">
  <dimension ref="A1:Z71"/>
  <sheetViews>
    <sheetView workbookViewId="0">
      <pane ySplit="2" topLeftCell="A22" activePane="bottomLeft" state="frozen"/>
      <selection pane="bottomLeft" activeCell="E22" sqref="E22"/>
      <selection activeCell="C1" sqref="C1"/>
    </sheetView>
  </sheetViews>
  <sheetFormatPr defaultColWidth="8.85546875" defaultRowHeight="15.95"/>
  <cols>
    <col min="1" max="1" width="12.7109375" style="3" customWidth="1"/>
    <col min="2" max="2" width="8.85546875" style="3"/>
    <col min="3" max="3" width="27" style="3" customWidth="1"/>
    <col min="4" max="4" width="2.7109375" style="3" customWidth="1"/>
    <col min="5" max="5" width="18.140625" style="13" customWidth="1"/>
    <col min="6" max="6" width="1.85546875" style="13" customWidth="1"/>
    <col min="7" max="7" width="20" style="13" customWidth="1"/>
    <col min="8" max="8" width="2.7109375" style="3" customWidth="1"/>
    <col min="9" max="9" width="12.5703125" style="3" customWidth="1"/>
    <col min="10" max="10" width="2.42578125" style="3" customWidth="1"/>
    <col min="11" max="11" width="13.7109375" style="3" customWidth="1"/>
    <col min="12" max="12" width="2.42578125" style="3" customWidth="1"/>
    <col min="13" max="13" width="8.85546875" style="3"/>
    <col min="14" max="14" width="13.7109375" style="3" customWidth="1"/>
    <col min="15" max="15" width="2.7109375" style="3" customWidth="1"/>
    <col min="16" max="16" width="8.85546875" style="3"/>
    <col min="17" max="17" width="13.7109375" style="3" customWidth="1"/>
    <col min="18" max="18" width="2.7109375" style="3" customWidth="1"/>
    <col min="19" max="19" width="8.85546875" style="3"/>
    <col min="20" max="20" width="11.42578125" style="3" customWidth="1"/>
    <col min="21" max="21" width="2.140625" style="3" customWidth="1"/>
    <col min="22" max="22" width="8.85546875" style="3"/>
    <col min="23" max="23" width="11.42578125" style="3" customWidth="1"/>
    <col min="24" max="24" width="32.5703125" style="3" customWidth="1"/>
    <col min="25" max="25" width="21.42578125" style="3" customWidth="1"/>
    <col min="26" max="16384" width="8.85546875" style="3"/>
  </cols>
  <sheetData>
    <row r="1" spans="1:26" s="5" customFormat="1">
      <c r="A1" s="4" t="s">
        <v>560</v>
      </c>
      <c r="E1" s="11"/>
      <c r="F1" s="11"/>
      <c r="G1" s="11"/>
      <c r="M1" s="4"/>
      <c r="P1" s="4"/>
      <c r="S1" s="4"/>
      <c r="V1" s="4"/>
    </row>
    <row r="2" spans="1:26" s="5" customFormat="1" ht="47.65">
      <c r="B2" s="4"/>
      <c r="C2" s="5" t="s">
        <v>804</v>
      </c>
      <c r="E2" s="12" t="s">
        <v>67</v>
      </c>
      <c r="F2" s="12"/>
      <c r="G2" s="12" t="s">
        <v>68</v>
      </c>
      <c r="H2" s="6"/>
      <c r="I2" s="6" t="s">
        <v>5</v>
      </c>
      <c r="J2" s="6"/>
      <c r="K2" s="7" t="s">
        <v>591</v>
      </c>
      <c r="L2" s="6"/>
      <c r="M2" s="17"/>
      <c r="N2" s="7" t="s">
        <v>193</v>
      </c>
      <c r="P2" s="17"/>
      <c r="Q2" s="7" t="s">
        <v>69</v>
      </c>
      <c r="S2" s="17"/>
      <c r="T2" s="7" t="s">
        <v>70</v>
      </c>
      <c r="V2" s="17"/>
      <c r="W2" s="7" t="s">
        <v>71</v>
      </c>
      <c r="X2" s="6" t="s">
        <v>72</v>
      </c>
      <c r="Y2" s="5" t="s">
        <v>592</v>
      </c>
      <c r="Z2" s="5" t="s">
        <v>593</v>
      </c>
    </row>
    <row r="3" spans="1:26" s="5" customFormat="1">
      <c r="A3" s="4" t="s">
        <v>73</v>
      </c>
      <c r="E3" s="11"/>
      <c r="F3" s="11"/>
      <c r="G3" s="11"/>
    </row>
    <row r="4" spans="1:26">
      <c r="B4" s="1"/>
      <c r="M4" s="1"/>
      <c r="P4" s="1"/>
      <c r="S4" s="1"/>
      <c r="V4" s="1"/>
    </row>
    <row r="5" spans="1:26">
      <c r="A5" s="20"/>
      <c r="B5" s="20"/>
      <c r="C5" s="20" t="s">
        <v>779</v>
      </c>
      <c r="D5" s="20"/>
      <c r="E5" s="13">
        <v>150</v>
      </c>
      <c r="M5" s="1"/>
      <c r="P5" s="1"/>
      <c r="S5" s="1"/>
      <c r="V5" s="1"/>
    </row>
    <row r="6" spans="1:26">
      <c r="A6" s="20"/>
      <c r="B6" s="20"/>
      <c r="C6" s="20" t="s">
        <v>562</v>
      </c>
      <c r="D6" s="20"/>
      <c r="M6" s="8" t="b">
        <v>0</v>
      </c>
      <c r="P6" s="8" t="b">
        <v>0</v>
      </c>
      <c r="S6" s="8" t="b">
        <v>0</v>
      </c>
      <c r="V6" s="8" t="b">
        <v>0</v>
      </c>
    </row>
    <row r="7" spans="1:26">
      <c r="A7" s="20"/>
      <c r="B7" s="20"/>
      <c r="C7" s="20"/>
      <c r="D7" s="20"/>
      <c r="M7" s="8" t="b">
        <v>0</v>
      </c>
      <c r="N7" s="10"/>
      <c r="P7" s="8" t="b">
        <v>0</v>
      </c>
      <c r="Q7" s="10"/>
      <c r="S7" s="8" t="b">
        <v>0</v>
      </c>
      <c r="V7" s="8" t="b">
        <v>0</v>
      </c>
    </row>
    <row r="8" spans="1:26">
      <c r="A8" s="20"/>
      <c r="B8" s="20"/>
      <c r="C8" s="20"/>
      <c r="D8" s="20"/>
      <c r="M8" s="8" t="b">
        <v>0</v>
      </c>
      <c r="P8" s="8" t="b">
        <v>0</v>
      </c>
      <c r="S8" s="8" t="b">
        <v>0</v>
      </c>
      <c r="V8" s="8" t="b">
        <v>0</v>
      </c>
    </row>
    <row r="9" spans="1:26">
      <c r="A9" s="20"/>
      <c r="B9" s="20"/>
      <c r="C9" s="20"/>
      <c r="D9" s="20"/>
      <c r="M9" s="8" t="b">
        <v>0</v>
      </c>
      <c r="P9" s="8" t="b">
        <v>0</v>
      </c>
      <c r="S9" s="8" t="b">
        <v>0</v>
      </c>
      <c r="V9" s="8" t="b">
        <v>0</v>
      </c>
    </row>
    <row r="10" spans="1:26">
      <c r="A10" s="20"/>
      <c r="B10" s="20"/>
      <c r="C10" s="20"/>
      <c r="D10" s="20"/>
      <c r="M10" s="8" t="b">
        <v>0</v>
      </c>
      <c r="P10" s="8" t="b">
        <v>0</v>
      </c>
      <c r="Q10" s="10"/>
      <c r="S10" s="8" t="b">
        <v>0</v>
      </c>
      <c r="V10" s="8" t="b">
        <v>0</v>
      </c>
    </row>
    <row r="11" spans="1:26">
      <c r="A11" s="20" t="s">
        <v>805</v>
      </c>
      <c r="B11" s="20"/>
      <c r="C11" s="20" t="s">
        <v>806</v>
      </c>
      <c r="D11" s="20"/>
      <c r="E11" s="13">
        <v>450</v>
      </c>
      <c r="M11" s="8" t="b">
        <v>0</v>
      </c>
      <c r="N11" s="10"/>
      <c r="P11" s="8" t="b">
        <v>0</v>
      </c>
      <c r="Q11" s="10"/>
      <c r="S11" s="8" t="b">
        <v>0</v>
      </c>
      <c r="T11" s="10"/>
      <c r="V11" s="8" t="b">
        <v>0</v>
      </c>
    </row>
    <row r="12" spans="1:26">
      <c r="A12" s="20" t="s">
        <v>807</v>
      </c>
      <c r="B12" s="20"/>
      <c r="C12" s="20" t="s">
        <v>604</v>
      </c>
      <c r="D12" s="20"/>
      <c r="M12" s="8" t="b">
        <v>0</v>
      </c>
      <c r="N12" s="10"/>
      <c r="P12" s="8" t="b">
        <v>0</v>
      </c>
      <c r="Q12" s="10"/>
      <c r="S12" s="8" t="b">
        <v>0</v>
      </c>
      <c r="T12" s="10"/>
      <c r="V12" s="8" t="b">
        <v>0</v>
      </c>
    </row>
    <row r="13" spans="1:26" ht="19.149999999999999" customHeight="1">
      <c r="A13" s="20"/>
      <c r="B13" s="20"/>
      <c r="C13" s="20" t="s">
        <v>808</v>
      </c>
      <c r="D13" s="20"/>
      <c r="M13" s="8" t="b">
        <v>0</v>
      </c>
      <c r="N13" s="10"/>
      <c r="P13" s="8" t="b">
        <v>0</v>
      </c>
      <c r="Q13" s="10"/>
      <c r="S13" s="8" t="b">
        <v>0</v>
      </c>
      <c r="T13" s="10"/>
      <c r="V13" s="8" t="b">
        <v>0</v>
      </c>
    </row>
    <row r="14" spans="1:26">
      <c r="C14" s="3" t="s">
        <v>809</v>
      </c>
      <c r="E14" s="3"/>
      <c r="F14" s="3"/>
      <c r="G14" s="3"/>
    </row>
    <row r="15" spans="1:26">
      <c r="A15" s="20"/>
      <c r="B15" s="20"/>
      <c r="C15" s="20" t="s">
        <v>810</v>
      </c>
      <c r="D15" s="20"/>
      <c r="I15" s="3" t="s">
        <v>9</v>
      </c>
      <c r="K15" s="10"/>
      <c r="M15" s="8" t="b">
        <v>0</v>
      </c>
      <c r="N15" s="10"/>
      <c r="P15" s="8" t="b">
        <v>0</v>
      </c>
      <c r="Q15" s="10"/>
      <c r="S15" s="8" t="b">
        <v>0</v>
      </c>
      <c r="T15" s="10"/>
      <c r="V15" s="8" t="b">
        <v>0</v>
      </c>
    </row>
    <row r="16" spans="1:26">
      <c r="A16" s="20"/>
      <c r="B16" s="20"/>
      <c r="C16" s="20" t="s">
        <v>811</v>
      </c>
      <c r="D16" s="20"/>
      <c r="I16" s="3" t="s">
        <v>9</v>
      </c>
      <c r="K16" s="10"/>
      <c r="M16" s="8" t="b">
        <v>0</v>
      </c>
      <c r="N16" s="10"/>
      <c r="P16" s="8" t="b">
        <v>0</v>
      </c>
      <c r="Q16" s="10"/>
      <c r="S16" s="8" t="b">
        <v>0</v>
      </c>
      <c r="T16" s="10"/>
      <c r="V16" s="8" t="b">
        <v>0</v>
      </c>
    </row>
    <row r="17" spans="1:22">
      <c r="A17" s="20"/>
      <c r="B17" s="20"/>
      <c r="C17" s="20"/>
      <c r="D17" s="20"/>
      <c r="K17" s="10"/>
      <c r="Q17" s="10"/>
      <c r="S17" s="1"/>
      <c r="V17" s="1"/>
    </row>
    <row r="18" spans="1:22">
      <c r="A18" s="20" t="s">
        <v>794</v>
      </c>
      <c r="B18" s="20"/>
      <c r="C18" s="20" t="s">
        <v>795</v>
      </c>
      <c r="D18" s="20"/>
      <c r="G18" s="13">
        <v>1766.64</v>
      </c>
      <c r="M18" s="18"/>
      <c r="N18" s="3" t="s">
        <v>796</v>
      </c>
      <c r="P18" s="18"/>
      <c r="Q18" s="10">
        <v>45838</v>
      </c>
      <c r="S18" s="18"/>
      <c r="V18" s="18"/>
    </row>
    <row r="19" spans="1:22">
      <c r="A19" s="20"/>
      <c r="B19" s="20"/>
      <c r="C19" s="20" t="s">
        <v>797</v>
      </c>
      <c r="D19" s="20"/>
      <c r="M19" s="8" t="b">
        <v>0</v>
      </c>
      <c r="N19" s="10"/>
      <c r="P19" s="8" t="b">
        <v>0</v>
      </c>
      <c r="Q19" s="10">
        <v>45838</v>
      </c>
      <c r="S19" s="8" t="b">
        <v>0</v>
      </c>
      <c r="V19" s="8" t="b">
        <v>0</v>
      </c>
    </row>
    <row r="20" spans="1:22">
      <c r="B20" s="20"/>
      <c r="C20" s="20"/>
      <c r="D20" s="21"/>
      <c r="M20" s="1"/>
      <c r="N20" s="10"/>
      <c r="P20" s="8" t="b">
        <v>0</v>
      </c>
      <c r="Q20" s="10"/>
      <c r="S20" s="8" t="b">
        <v>0</v>
      </c>
      <c r="V20" s="1"/>
    </row>
    <row r="21" spans="1:22">
      <c r="A21" s="20"/>
      <c r="B21" s="20"/>
      <c r="C21" s="20" t="s">
        <v>525</v>
      </c>
      <c r="D21" s="20"/>
      <c r="E21" s="13">
        <v>650</v>
      </c>
      <c r="I21" s="3" t="s">
        <v>6</v>
      </c>
      <c r="M21" s="8" t="b">
        <v>0</v>
      </c>
      <c r="N21" s="10"/>
      <c r="P21" s="8" t="b">
        <v>0</v>
      </c>
      <c r="Q21" s="10"/>
      <c r="S21" s="8" t="b">
        <v>0</v>
      </c>
      <c r="V21" s="8" t="b">
        <v>0</v>
      </c>
    </row>
    <row r="22" spans="1:22">
      <c r="A22" s="20"/>
      <c r="B22" s="20"/>
      <c r="C22" s="20" t="s">
        <v>270</v>
      </c>
      <c r="D22" s="20"/>
      <c r="E22" s="13">
        <v>1200</v>
      </c>
      <c r="I22" s="3" t="s">
        <v>10</v>
      </c>
      <c r="M22" s="8" t="b">
        <v>0</v>
      </c>
      <c r="N22" s="10"/>
      <c r="P22" s="8" t="b">
        <v>0</v>
      </c>
      <c r="Q22" s="10"/>
      <c r="S22" s="8" t="b">
        <v>0</v>
      </c>
      <c r="V22" s="8" t="b">
        <v>0</v>
      </c>
    </row>
    <row r="23" spans="1:22">
      <c r="A23" s="20"/>
      <c r="B23" s="20"/>
      <c r="C23" s="20"/>
      <c r="D23" s="20"/>
      <c r="M23" s="8" t="b">
        <v>0</v>
      </c>
      <c r="N23" s="10"/>
      <c r="P23" s="8" t="b">
        <v>0</v>
      </c>
      <c r="Q23" s="10"/>
      <c r="S23" s="8" t="b">
        <v>0</v>
      </c>
      <c r="V23" s="8" t="b">
        <v>0</v>
      </c>
    </row>
    <row r="24" spans="1:22">
      <c r="A24" s="20"/>
      <c r="B24" s="20"/>
      <c r="C24" s="20"/>
      <c r="D24" s="20"/>
      <c r="M24" s="1"/>
      <c r="N24" s="10"/>
      <c r="P24" s="1"/>
      <c r="S24" s="1"/>
      <c r="V24" s="1"/>
    </row>
    <row r="25" spans="1:22">
      <c r="A25" s="20"/>
      <c r="B25" s="20"/>
      <c r="C25" s="20" t="s">
        <v>812</v>
      </c>
      <c r="D25" s="20"/>
      <c r="E25" s="13">
        <v>150</v>
      </c>
      <c r="G25" s="13">
        <f>79.39+88.41</f>
        <v>167.8</v>
      </c>
      <c r="I25" s="3" t="s">
        <v>12</v>
      </c>
      <c r="K25" s="10"/>
      <c r="M25" s="8" t="b">
        <v>0</v>
      </c>
      <c r="N25" s="10">
        <v>45838</v>
      </c>
      <c r="P25" s="8" t="b">
        <v>1</v>
      </c>
      <c r="Q25" s="10">
        <v>45838</v>
      </c>
      <c r="S25" s="8" t="b">
        <v>1</v>
      </c>
      <c r="T25" s="10"/>
      <c r="V25" s="8" t="b">
        <v>0</v>
      </c>
    </row>
    <row r="26" spans="1:22">
      <c r="A26" s="20"/>
      <c r="B26" s="20"/>
      <c r="C26" s="20" t="s">
        <v>742</v>
      </c>
      <c r="D26" s="20"/>
      <c r="E26" s="13">
        <v>400</v>
      </c>
      <c r="G26" s="13">
        <v>299.86</v>
      </c>
      <c r="I26" s="3" t="s">
        <v>12</v>
      </c>
      <c r="K26" s="10">
        <v>45838</v>
      </c>
      <c r="M26" s="8" t="b">
        <v>1</v>
      </c>
      <c r="N26" s="10">
        <v>45838</v>
      </c>
      <c r="P26" s="8" t="b">
        <v>1</v>
      </c>
      <c r="Q26" s="10">
        <v>45838</v>
      </c>
      <c r="S26" s="8" t="b">
        <v>1</v>
      </c>
      <c r="V26" s="1"/>
    </row>
    <row r="27" spans="1:22">
      <c r="A27" s="20"/>
      <c r="B27" s="20"/>
      <c r="C27" s="20" t="s">
        <v>813</v>
      </c>
      <c r="D27" s="20"/>
      <c r="E27" s="13">
        <v>350</v>
      </c>
      <c r="G27" s="13">
        <v>179.68</v>
      </c>
      <c r="I27" s="3" t="s">
        <v>12</v>
      </c>
      <c r="M27" s="8" t="b">
        <v>0</v>
      </c>
      <c r="N27" s="10">
        <v>45838</v>
      </c>
      <c r="P27" s="8" t="b">
        <v>1</v>
      </c>
      <c r="Q27" s="10">
        <v>45838</v>
      </c>
      <c r="S27" s="8" t="b">
        <v>1</v>
      </c>
      <c r="V27" s="8" t="b">
        <v>0</v>
      </c>
    </row>
    <row r="28" spans="1:22">
      <c r="A28" s="20"/>
      <c r="B28" s="20"/>
      <c r="C28" s="20"/>
      <c r="D28" s="20"/>
      <c r="M28" s="8" t="b">
        <v>0</v>
      </c>
      <c r="N28" s="10"/>
      <c r="P28" s="8" t="b">
        <v>0</v>
      </c>
      <c r="Q28" s="10"/>
      <c r="S28" s="8" t="b">
        <v>0</v>
      </c>
      <c r="V28" s="8" t="b">
        <v>0</v>
      </c>
    </row>
    <row r="29" spans="1:22">
      <c r="A29" s="20"/>
      <c r="B29" s="20"/>
      <c r="C29" s="20"/>
      <c r="D29" s="20"/>
      <c r="M29" s="1"/>
      <c r="N29" s="10"/>
      <c r="P29" s="1"/>
      <c r="S29" s="1"/>
      <c r="V29" s="1"/>
    </row>
    <row r="30" spans="1:22">
      <c r="A30" s="20"/>
      <c r="B30" s="20"/>
      <c r="C30" s="20"/>
      <c r="D30" s="20"/>
      <c r="M30" s="1"/>
      <c r="N30" s="10"/>
      <c r="P30" s="8" t="b">
        <v>0</v>
      </c>
      <c r="S30" s="8" t="b">
        <v>0</v>
      </c>
      <c r="V30" s="1"/>
    </row>
    <row r="31" spans="1:22">
      <c r="A31" s="20"/>
      <c r="B31" s="20"/>
      <c r="C31" s="20"/>
      <c r="D31" s="20"/>
      <c r="M31" s="1"/>
      <c r="N31" s="10"/>
      <c r="P31" s="1"/>
      <c r="S31" s="1"/>
      <c r="V31" s="1"/>
    </row>
    <row r="32" spans="1:22">
      <c r="A32" s="20"/>
      <c r="B32" s="20"/>
      <c r="C32" s="20"/>
      <c r="D32" s="20"/>
      <c r="F32" s="26"/>
      <c r="G32" s="26"/>
      <c r="H32" s="22"/>
      <c r="I32" s="22"/>
      <c r="M32" s="18"/>
      <c r="P32" s="18"/>
      <c r="S32" s="18"/>
      <c r="V32" s="18"/>
    </row>
    <row r="33" spans="1:22">
      <c r="A33" s="20"/>
      <c r="B33" s="20"/>
      <c r="C33" s="20"/>
      <c r="D33" s="20"/>
      <c r="M33" s="18"/>
      <c r="P33" s="18"/>
      <c r="S33" s="18"/>
      <c r="V33" s="18"/>
    </row>
    <row r="34" spans="1:22">
      <c r="A34" s="20"/>
      <c r="B34" s="20"/>
      <c r="C34" s="20"/>
      <c r="D34" s="20"/>
      <c r="M34" s="1"/>
      <c r="N34" s="10"/>
      <c r="P34" s="1"/>
      <c r="S34" s="1"/>
      <c r="V34" s="1"/>
    </row>
    <row r="35" spans="1:22">
      <c r="A35" s="20"/>
      <c r="B35" s="20"/>
      <c r="C35" s="20"/>
      <c r="D35" s="20"/>
      <c r="M35" s="1"/>
      <c r="P35" s="1"/>
      <c r="S35" s="1"/>
      <c r="V35" s="1"/>
    </row>
    <row r="36" spans="1:22" s="5" customFormat="1">
      <c r="B36" s="4"/>
      <c r="E36" s="11">
        <f>SUM(E3:E35)</f>
        <v>3350</v>
      </c>
      <c r="F36" s="11"/>
      <c r="G36" s="11">
        <f>SUM(G2:G35)</f>
        <v>2413.98</v>
      </c>
      <c r="L36" s="3"/>
      <c r="M36" s="1"/>
      <c r="N36" s="3"/>
      <c r="P36" s="1"/>
      <c r="S36" s="1"/>
      <c r="V36" s="1"/>
    </row>
    <row r="37" spans="1:22" s="5" customFormat="1">
      <c r="B37" s="4"/>
      <c r="E37" s="11"/>
      <c r="F37" s="11"/>
      <c r="G37" s="11"/>
      <c r="L37" s="3"/>
      <c r="M37" s="1"/>
      <c r="N37" s="3"/>
      <c r="P37" s="1"/>
      <c r="S37" s="1"/>
      <c r="V37" s="1"/>
    </row>
    <row r="38" spans="1:22" s="5" customFormat="1">
      <c r="B38" s="1"/>
      <c r="C38" s="3"/>
      <c r="D38" s="3"/>
      <c r="E38" s="11"/>
      <c r="F38" s="11"/>
      <c r="G38" s="11"/>
      <c r="L38" s="3"/>
      <c r="M38" s="1"/>
      <c r="N38" s="3"/>
      <c r="P38" s="1"/>
      <c r="S38" s="1"/>
      <c r="V38" s="1"/>
    </row>
    <row r="39" spans="1:22" s="5" customFormat="1">
      <c r="B39" s="1"/>
      <c r="C39" s="3"/>
      <c r="D39" s="3"/>
      <c r="E39" s="11"/>
      <c r="F39" s="11"/>
      <c r="G39" s="11"/>
      <c r="L39" s="3"/>
      <c r="M39" s="1"/>
      <c r="N39" s="3"/>
      <c r="P39" s="1"/>
      <c r="S39" s="1"/>
      <c r="V39" s="1"/>
    </row>
    <row r="40" spans="1:22" s="5" customFormat="1">
      <c r="B40" s="1"/>
      <c r="C40" s="3"/>
      <c r="D40" s="3"/>
      <c r="E40" s="11"/>
      <c r="F40" s="11"/>
      <c r="G40" s="11"/>
      <c r="L40" s="3"/>
      <c r="M40" s="1"/>
      <c r="N40" s="3"/>
      <c r="P40" s="1"/>
      <c r="S40" s="1"/>
      <c r="V40" s="1"/>
    </row>
    <row r="41" spans="1:22" s="5" customFormat="1">
      <c r="B41" s="1"/>
      <c r="C41" s="3"/>
      <c r="D41" s="3"/>
      <c r="E41" s="11"/>
      <c r="F41" s="11"/>
      <c r="G41" s="11"/>
      <c r="L41" s="3"/>
      <c r="M41" s="1"/>
      <c r="N41" s="3"/>
      <c r="P41" s="1"/>
      <c r="S41" s="1"/>
      <c r="V41" s="1"/>
    </row>
    <row r="42" spans="1:22">
      <c r="B42" s="1"/>
      <c r="M42" s="1"/>
      <c r="P42" s="1"/>
      <c r="S42" s="1"/>
      <c r="V42" s="1"/>
    </row>
    <row r="43" spans="1:22">
      <c r="B43" s="1"/>
      <c r="M43" s="1"/>
      <c r="P43" s="1"/>
      <c r="S43" s="1"/>
      <c r="V43" s="1"/>
    </row>
    <row r="44" spans="1:22">
      <c r="B44" s="1"/>
      <c r="M44" s="1"/>
      <c r="P44" s="1"/>
      <c r="S44" s="1"/>
      <c r="V44" s="1"/>
    </row>
    <row r="45" spans="1:22">
      <c r="B45" s="1"/>
      <c r="M45" s="1"/>
      <c r="P45" s="1"/>
      <c r="S45" s="1"/>
      <c r="V45" s="1"/>
    </row>
    <row r="46" spans="1:22">
      <c r="B46" s="1"/>
      <c r="M46" s="1"/>
      <c r="P46" s="1"/>
      <c r="S46" s="1"/>
      <c r="V46" s="1"/>
    </row>
    <row r="47" spans="1:22">
      <c r="B47" s="18"/>
      <c r="M47" s="1"/>
      <c r="P47" s="1"/>
      <c r="S47" s="1"/>
      <c r="V47" s="1"/>
    </row>
    <row r="48" spans="1:22">
      <c r="B48" s="1"/>
      <c r="L48" s="5"/>
      <c r="M48" s="1"/>
      <c r="N48" s="5"/>
      <c r="P48" s="1"/>
      <c r="S48" s="1"/>
      <c r="V48" s="1"/>
    </row>
    <row r="49" spans="2:22">
      <c r="B49" s="1"/>
      <c r="L49" s="5"/>
      <c r="M49" s="1"/>
      <c r="N49" s="5"/>
      <c r="P49" s="1"/>
      <c r="S49" s="1"/>
      <c r="V49" s="1"/>
    </row>
    <row r="50" spans="2:22">
      <c r="B50" s="1"/>
      <c r="L50" s="5"/>
      <c r="M50" s="1"/>
      <c r="N50" s="5"/>
      <c r="P50" s="1"/>
      <c r="S50" s="1"/>
      <c r="V50" s="1"/>
    </row>
    <row r="51" spans="2:22">
      <c r="B51" s="1"/>
      <c r="L51" s="5"/>
      <c r="M51" s="1"/>
      <c r="N51" s="5"/>
      <c r="P51" s="1"/>
      <c r="S51" s="1"/>
      <c r="V51" s="1"/>
    </row>
    <row r="52" spans="2:22">
      <c r="B52" s="1"/>
      <c r="M52" s="1"/>
      <c r="P52" s="1"/>
      <c r="S52" s="1"/>
      <c r="V52" s="1"/>
    </row>
    <row r="53" spans="2:22">
      <c r="B53" s="1"/>
      <c r="M53" s="2"/>
      <c r="P53" s="2"/>
      <c r="S53" s="2"/>
      <c r="V53" s="2"/>
    </row>
    <row r="54" spans="2:22" s="5" customFormat="1">
      <c r="B54" s="4"/>
      <c r="E54" s="11"/>
      <c r="F54" s="11"/>
      <c r="G54" s="11"/>
      <c r="M54" s="14"/>
      <c r="P54" s="14"/>
      <c r="S54" s="14"/>
      <c r="V54" s="14"/>
    </row>
    <row r="55" spans="2:22" s="5" customFormat="1">
      <c r="B55" s="4"/>
      <c r="E55" s="11"/>
      <c r="F55" s="11"/>
      <c r="G55" s="11"/>
      <c r="L55" s="3"/>
      <c r="M55" s="2"/>
      <c r="N55" s="3"/>
      <c r="P55" s="2"/>
      <c r="S55" s="2"/>
      <c r="V55" s="2"/>
    </row>
    <row r="56" spans="2:22" s="5" customFormat="1">
      <c r="B56" s="1"/>
      <c r="C56" s="3"/>
      <c r="D56" s="3"/>
      <c r="E56" s="11"/>
      <c r="F56" s="11"/>
      <c r="G56" s="11"/>
      <c r="M56" s="4"/>
      <c r="P56" s="4"/>
      <c r="S56" s="4"/>
      <c r="V56" s="4"/>
    </row>
    <row r="57" spans="2:22" s="5" customFormat="1">
      <c r="B57" s="1"/>
      <c r="C57" s="3"/>
      <c r="D57" s="3"/>
      <c r="E57" s="11"/>
      <c r="F57" s="11"/>
      <c r="G57" s="11"/>
      <c r="M57" s="4"/>
      <c r="P57" s="4"/>
      <c r="S57" s="4"/>
      <c r="V57" s="4"/>
    </row>
    <row r="58" spans="2:22">
      <c r="B58" s="1"/>
      <c r="L58" s="5"/>
      <c r="M58" s="4"/>
      <c r="N58" s="5"/>
      <c r="P58" s="4"/>
      <c r="S58" s="4"/>
      <c r="V58" s="4"/>
    </row>
    <row r="59" spans="2:22">
      <c r="B59" s="1"/>
      <c r="L59" s="5"/>
      <c r="M59" s="1"/>
      <c r="N59" s="5"/>
      <c r="P59" s="1"/>
      <c r="S59" s="1"/>
      <c r="V59" s="1"/>
    </row>
    <row r="60" spans="2:22">
      <c r="B60" s="1"/>
      <c r="L60" s="5"/>
      <c r="M60" s="1"/>
      <c r="N60" s="5"/>
      <c r="P60" s="1"/>
      <c r="S60" s="1"/>
      <c r="V60" s="1"/>
    </row>
    <row r="61" spans="2:22">
      <c r="B61" s="1"/>
      <c r="M61" s="1"/>
      <c r="P61" s="1"/>
      <c r="S61" s="1"/>
      <c r="V61" s="1"/>
    </row>
    <row r="62" spans="2:22">
      <c r="B62" s="1"/>
      <c r="M62" s="1"/>
      <c r="P62" s="1"/>
      <c r="S62" s="1"/>
      <c r="V62" s="1"/>
    </row>
    <row r="63" spans="2:22">
      <c r="B63" s="1"/>
      <c r="M63" s="1"/>
      <c r="P63" s="1"/>
      <c r="S63" s="1"/>
      <c r="V63" s="1"/>
    </row>
    <row r="64" spans="2:22">
      <c r="B64" s="1"/>
      <c r="M64" s="1"/>
      <c r="P64" s="1"/>
      <c r="S64" s="1"/>
      <c r="V64" s="1"/>
    </row>
    <row r="65" spans="2:22">
      <c r="B65" s="1"/>
      <c r="M65" s="1"/>
      <c r="P65" s="1"/>
      <c r="S65" s="1"/>
      <c r="V65" s="1"/>
    </row>
    <row r="66" spans="2:22">
      <c r="B66" s="1"/>
      <c r="M66" s="1"/>
      <c r="P66" s="1"/>
      <c r="S66" s="1"/>
      <c r="V66" s="1"/>
    </row>
    <row r="67" spans="2:22">
      <c r="B67" s="1"/>
      <c r="M67" s="1"/>
      <c r="P67" s="1"/>
      <c r="S67" s="1"/>
      <c r="V67" s="1"/>
    </row>
    <row r="68" spans="2:22">
      <c r="B68" s="1"/>
      <c r="M68" s="1"/>
      <c r="P68" s="1"/>
      <c r="S68" s="1"/>
      <c r="V68" s="1"/>
    </row>
    <row r="69" spans="2:22">
      <c r="M69" s="1"/>
      <c r="P69" s="1"/>
      <c r="S69" s="1"/>
      <c r="V69" s="1"/>
    </row>
    <row r="70" spans="2:22">
      <c r="M70" s="1"/>
      <c r="P70" s="1"/>
      <c r="S70" s="1"/>
      <c r="V70" s="1"/>
    </row>
    <row r="71" spans="2:22">
      <c r="M71" s="1"/>
      <c r="P71" s="1"/>
      <c r="S71" s="1"/>
      <c r="V71" s="1"/>
    </row>
  </sheetData>
  <pageMargins left="0.7" right="0.7" top="0.75" bottom="0.75" header="0.3" footer="0.3"/>
  <pageSetup orientation="portrait" horizontalDpi="203" verticalDpi="20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C16A-8263-403A-9FB6-3205B7426E05}">
  <dimension ref="A1"/>
  <sheetViews>
    <sheetView workbookViewId="0"/>
  </sheetViews>
  <sheetFormatPr defaultRowHeight="14.6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FC40-C1CF-43C3-AF59-A8F412B837B7}">
  <dimension ref="A1:T171"/>
  <sheetViews>
    <sheetView workbookViewId="0">
      <pane ySplit="2" topLeftCell="A15" activePane="bottomLeft" state="frozen"/>
      <selection pane="bottomLeft" activeCell="E30" sqref="E30:E31"/>
      <selection activeCell="C1" sqref="C1"/>
    </sheetView>
  </sheetViews>
  <sheetFormatPr defaultColWidth="8.85546875" defaultRowHeight="15.75" customHeight="1"/>
  <cols>
    <col min="1" max="1" width="18.85546875" style="39" customWidth="1"/>
    <col min="2" max="2" width="9.140625" style="39" bestFit="1" customWidth="1"/>
    <col min="3" max="3" width="47.85546875" style="39" customWidth="1"/>
    <col min="4" max="4" width="12.42578125" style="41" customWidth="1"/>
    <col min="5" max="5" width="11.28515625" style="41" customWidth="1"/>
    <col min="6" max="6" width="18.7109375" style="39" customWidth="1"/>
    <col min="7" max="7" width="2.42578125" style="39" customWidth="1"/>
    <col min="8" max="8" width="13.7109375" style="39" customWidth="1"/>
    <col min="9" max="9" width="2.42578125" style="39" customWidth="1"/>
    <col min="10" max="10" width="13.7109375" style="39" customWidth="1"/>
    <col min="11" max="11" width="2.7109375" style="39" customWidth="1"/>
    <col min="12" max="12" width="13.7109375" style="39" customWidth="1"/>
    <col min="13" max="13" width="2.7109375" style="39" customWidth="1"/>
    <col min="14" max="14" width="9.140625" style="39" bestFit="1" customWidth="1"/>
    <col min="15" max="15" width="11.42578125" style="39" customWidth="1"/>
    <col min="16" max="16" width="2.140625" style="39" customWidth="1"/>
    <col min="17" max="17" width="9.140625" style="39" bestFit="1" customWidth="1"/>
    <col min="18" max="18" width="11.42578125" style="39" customWidth="1"/>
    <col min="19" max="19" width="32.5703125" style="39" customWidth="1"/>
    <col min="20" max="20" width="21.42578125" style="39" customWidth="1"/>
    <col min="21" max="16384" width="8.85546875" style="39"/>
  </cols>
  <sheetData>
    <row r="1" spans="1:19" s="40" customFormat="1" ht="15.95">
      <c r="A1" s="4" t="s">
        <v>814</v>
      </c>
      <c r="B1" s="5"/>
      <c r="C1" s="5"/>
      <c r="D1" s="11"/>
      <c r="E1" s="11"/>
      <c r="F1" s="5"/>
      <c r="G1" s="5"/>
      <c r="H1" s="5"/>
      <c r="I1" s="5"/>
      <c r="J1" s="5"/>
      <c r="K1" s="5"/>
      <c r="L1" s="5"/>
      <c r="M1" s="5"/>
      <c r="N1" s="4"/>
      <c r="O1" s="5"/>
      <c r="P1" s="5"/>
      <c r="Q1" s="4"/>
      <c r="R1" s="5"/>
      <c r="S1" s="5"/>
    </row>
    <row r="2" spans="1:19" s="40" customFormat="1" ht="47.65">
      <c r="A2" s="5"/>
      <c r="B2" s="4"/>
      <c r="C2" s="5" t="s">
        <v>815</v>
      </c>
      <c r="D2" s="32" t="s">
        <v>816</v>
      </c>
      <c r="E2" s="32" t="s">
        <v>817</v>
      </c>
      <c r="F2" s="6" t="s">
        <v>5</v>
      </c>
      <c r="G2" s="6"/>
      <c r="H2" s="7" t="s">
        <v>591</v>
      </c>
      <c r="I2" s="6"/>
      <c r="J2" s="7" t="s">
        <v>193</v>
      </c>
      <c r="K2" s="5"/>
      <c r="L2" s="7" t="s">
        <v>69</v>
      </c>
      <c r="M2" s="5"/>
      <c r="N2" s="17"/>
      <c r="O2" s="7" t="s">
        <v>70</v>
      </c>
      <c r="P2" s="5"/>
      <c r="Q2" s="17"/>
      <c r="R2" s="7" t="s">
        <v>71</v>
      </c>
      <c r="S2" s="6" t="s">
        <v>72</v>
      </c>
    </row>
    <row r="3" spans="1:19" s="40" customFormat="1" ht="15.95">
      <c r="A3" s="4" t="s">
        <v>73</v>
      </c>
      <c r="B3" s="5"/>
      <c r="C3" s="5"/>
      <c r="D3" s="11"/>
      <c r="E3" s="1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.95">
      <c r="A4" s="3"/>
      <c r="B4" s="1"/>
      <c r="C4" s="3"/>
      <c r="D4" s="13"/>
      <c r="E4" s="13"/>
      <c r="F4" s="3"/>
      <c r="G4" s="3"/>
      <c r="H4" s="3"/>
      <c r="I4" s="3"/>
      <c r="J4" s="3"/>
      <c r="K4" s="3"/>
      <c r="L4" s="3"/>
      <c r="M4" s="3"/>
      <c r="N4" s="1"/>
      <c r="O4" s="3"/>
      <c r="P4" s="3"/>
      <c r="Q4" s="1"/>
      <c r="R4" s="3"/>
      <c r="S4" s="3"/>
    </row>
    <row r="5" spans="1:19" s="3" customFormat="1" ht="15.95">
      <c r="B5" s="3" t="s">
        <v>818</v>
      </c>
      <c r="D5" s="13"/>
      <c r="E5" s="13"/>
      <c r="F5" s="13"/>
      <c r="I5" s="10"/>
      <c r="K5" s="8" t="b">
        <v>0</v>
      </c>
      <c r="M5" s="8" t="b">
        <v>0</v>
      </c>
      <c r="P5" s="8" t="b">
        <v>0</v>
      </c>
    </row>
    <row r="6" spans="1:19" ht="15.95">
      <c r="A6" s="20"/>
      <c r="B6" s="20"/>
      <c r="C6" s="20"/>
      <c r="D6" s="13"/>
      <c r="E6" s="13"/>
      <c r="F6" s="3"/>
      <c r="G6" s="3"/>
      <c r="H6" s="3"/>
      <c r="I6" s="8" t="b">
        <v>0</v>
      </c>
      <c r="J6" s="3"/>
      <c r="K6" s="3"/>
      <c r="L6" s="3"/>
      <c r="M6" s="3"/>
      <c r="N6" s="1"/>
      <c r="O6" s="3"/>
      <c r="P6" s="3"/>
      <c r="Q6" s="1"/>
      <c r="R6" s="3"/>
      <c r="S6" s="3"/>
    </row>
    <row r="7" spans="1:19" ht="15.95">
      <c r="A7" s="20"/>
      <c r="B7" s="20"/>
      <c r="C7" s="20"/>
      <c r="D7" s="13"/>
      <c r="E7" s="13"/>
      <c r="F7" s="3"/>
      <c r="G7" s="3"/>
      <c r="H7" s="3"/>
      <c r="I7" s="8" t="b">
        <v>0</v>
      </c>
      <c r="J7" s="3"/>
      <c r="K7" s="3"/>
      <c r="L7" s="3"/>
      <c r="M7" s="3"/>
      <c r="N7" s="1"/>
      <c r="O7" s="3"/>
      <c r="P7" s="3"/>
      <c r="Q7" s="1"/>
      <c r="R7" s="3"/>
      <c r="S7" s="3"/>
    </row>
    <row r="8" spans="1:19" s="3" customFormat="1" ht="15.95">
      <c r="B8" s="3" t="s">
        <v>676</v>
      </c>
      <c r="D8" s="13"/>
      <c r="E8" s="13"/>
      <c r="F8" s="13"/>
      <c r="I8" s="8" t="b">
        <v>0</v>
      </c>
      <c r="K8" s="8" t="b">
        <v>0</v>
      </c>
      <c r="M8" s="8" t="b">
        <v>0</v>
      </c>
      <c r="P8" s="8" t="b">
        <v>0</v>
      </c>
    </row>
    <row r="9" spans="1:19" s="3" customFormat="1" ht="15.95">
      <c r="D9" s="13"/>
      <c r="E9" s="13"/>
      <c r="F9" s="13"/>
      <c r="I9" s="8" t="b">
        <v>0</v>
      </c>
      <c r="K9" s="8" t="b">
        <v>0</v>
      </c>
      <c r="M9" s="8" t="b">
        <v>0</v>
      </c>
      <c r="P9" s="8" t="b">
        <v>0</v>
      </c>
    </row>
    <row r="10" spans="1:19" s="3" customFormat="1" ht="15.95">
      <c r="A10" s="3" t="s">
        <v>405</v>
      </c>
      <c r="B10" s="15" t="s">
        <v>819</v>
      </c>
      <c r="D10" s="13"/>
      <c r="E10" s="13"/>
      <c r="F10" s="13"/>
      <c r="I10" s="8" t="b">
        <v>0</v>
      </c>
      <c r="K10" s="8" t="b">
        <v>0</v>
      </c>
      <c r="M10" s="8" t="b">
        <v>0</v>
      </c>
      <c r="P10" s="8" t="b">
        <v>0</v>
      </c>
    </row>
    <row r="11" spans="1:19" s="3" customFormat="1" ht="15.95">
      <c r="B11" s="15" t="s">
        <v>679</v>
      </c>
      <c r="D11" s="13"/>
      <c r="E11" s="13"/>
      <c r="F11" s="13"/>
      <c r="I11" s="8" t="b">
        <v>0</v>
      </c>
      <c r="K11" s="8" t="b">
        <v>0</v>
      </c>
      <c r="M11" s="8" t="b">
        <v>0</v>
      </c>
      <c r="P11" s="8" t="b">
        <v>0</v>
      </c>
    </row>
    <row r="12" spans="1:19" s="3" customFormat="1" ht="15.95">
      <c r="B12" s="3" t="s">
        <v>820</v>
      </c>
      <c r="D12" s="13">
        <v>950</v>
      </c>
      <c r="E12" s="13"/>
      <c r="F12" s="13"/>
      <c r="I12" s="8" t="b">
        <v>0</v>
      </c>
      <c r="K12" s="8" t="b">
        <v>0</v>
      </c>
      <c r="M12" s="8" t="b">
        <v>0</v>
      </c>
      <c r="N12" s="10"/>
      <c r="P12" s="8" t="b">
        <v>0</v>
      </c>
    </row>
    <row r="13" spans="1:19" s="3" customFormat="1" ht="15.95">
      <c r="B13" s="3" t="s">
        <v>206</v>
      </c>
      <c r="D13" s="13"/>
      <c r="E13" s="13"/>
      <c r="F13" s="13"/>
      <c r="I13" s="8" t="b">
        <v>0</v>
      </c>
      <c r="K13" s="8" t="b">
        <v>0</v>
      </c>
      <c r="M13" s="8" t="b">
        <v>0</v>
      </c>
      <c r="N13" s="10"/>
      <c r="P13" s="8" t="b">
        <v>0</v>
      </c>
    </row>
    <row r="14" spans="1:19" s="3" customFormat="1" ht="15.95">
      <c r="D14" s="13"/>
      <c r="E14" s="13"/>
      <c r="F14" s="13"/>
      <c r="I14" s="1"/>
      <c r="K14" s="1"/>
      <c r="M14" s="1"/>
      <c r="N14" s="10"/>
      <c r="P14" s="1"/>
    </row>
    <row r="15" spans="1:19" s="3" customFormat="1" ht="15.95">
      <c r="A15" s="3" t="s">
        <v>821</v>
      </c>
      <c r="D15" s="13">
        <v>2800</v>
      </c>
      <c r="E15" s="13"/>
      <c r="F15" s="13"/>
      <c r="I15" s="1"/>
      <c r="K15" s="1"/>
      <c r="M15" s="1"/>
      <c r="N15" s="10"/>
      <c r="P15" s="1"/>
    </row>
    <row r="16" spans="1:19" s="3" customFormat="1" ht="15.95">
      <c r="D16" s="13"/>
      <c r="E16" s="13"/>
      <c r="F16" s="13"/>
      <c r="I16" s="8" t="b">
        <v>0</v>
      </c>
      <c r="K16" s="1"/>
      <c r="M16" s="1"/>
      <c r="P16" s="1"/>
    </row>
    <row r="17" spans="1:16" s="3" customFormat="1" ht="15.95">
      <c r="A17" s="3" t="s">
        <v>301</v>
      </c>
      <c r="D17" s="13"/>
      <c r="E17" s="13"/>
      <c r="F17" s="13"/>
      <c r="I17" s="8" t="b">
        <v>0</v>
      </c>
      <c r="K17" s="8" t="b">
        <v>0</v>
      </c>
      <c r="M17" s="8" t="b">
        <v>0</v>
      </c>
      <c r="N17" s="10"/>
      <c r="P17" s="8" t="b">
        <v>0</v>
      </c>
    </row>
    <row r="18" spans="1:16" s="3" customFormat="1" ht="15.95">
      <c r="D18" s="13"/>
      <c r="E18" s="13"/>
      <c r="F18" s="13"/>
      <c r="I18" s="8" t="b">
        <v>0</v>
      </c>
      <c r="K18" s="8" t="b">
        <v>0</v>
      </c>
      <c r="M18" s="8" t="b">
        <v>0</v>
      </c>
      <c r="N18" s="10"/>
      <c r="P18" s="8" t="b">
        <v>0</v>
      </c>
    </row>
    <row r="19" spans="1:16" s="3" customFormat="1" ht="15.95">
      <c r="D19" s="13"/>
      <c r="E19" s="13"/>
      <c r="F19" s="13"/>
      <c r="I19" s="8" t="b">
        <v>0</v>
      </c>
      <c r="K19" s="8" t="b">
        <v>0</v>
      </c>
      <c r="M19" s="8" t="b">
        <v>0</v>
      </c>
      <c r="N19" s="10"/>
      <c r="P19" s="8" t="b">
        <v>0</v>
      </c>
    </row>
    <row r="20" spans="1:16" s="3" customFormat="1" ht="15.95">
      <c r="D20" s="13"/>
      <c r="E20" s="13"/>
      <c r="F20" s="13"/>
      <c r="I20" s="18"/>
      <c r="K20" s="8" t="b">
        <v>0</v>
      </c>
      <c r="M20" s="8" t="b">
        <v>0</v>
      </c>
      <c r="N20" s="10"/>
      <c r="P20" s="8" t="b">
        <v>0</v>
      </c>
    </row>
    <row r="21" spans="1:16" s="3" customFormat="1" ht="15.95">
      <c r="D21" s="13"/>
      <c r="E21" s="13"/>
      <c r="F21" s="13"/>
      <c r="K21" s="8" t="b">
        <v>0</v>
      </c>
      <c r="M21" s="8" t="b">
        <v>0</v>
      </c>
      <c r="N21" s="10"/>
      <c r="P21" s="8" t="b">
        <v>0</v>
      </c>
    </row>
    <row r="22" spans="1:16" s="3" customFormat="1" ht="15.95">
      <c r="D22" s="13"/>
      <c r="E22" s="13"/>
      <c r="F22" s="13"/>
      <c r="K22" s="8" t="b">
        <v>0</v>
      </c>
      <c r="M22" s="8" t="b">
        <v>0</v>
      </c>
      <c r="N22" s="10"/>
      <c r="P22" s="8" t="b">
        <v>0</v>
      </c>
    </row>
    <row r="23" spans="1:16" s="3" customFormat="1" ht="15.95">
      <c r="D23" s="13"/>
      <c r="E23" s="13"/>
      <c r="F23" s="13"/>
      <c r="K23" s="8" t="b">
        <v>0</v>
      </c>
      <c r="M23" s="8" t="b">
        <v>0</v>
      </c>
      <c r="N23" s="10"/>
      <c r="P23" s="8" t="b">
        <v>0</v>
      </c>
    </row>
    <row r="24" spans="1:16" s="3" customFormat="1" ht="15.95">
      <c r="D24" s="13"/>
      <c r="E24" s="13"/>
      <c r="F24" s="13"/>
      <c r="K24" s="1"/>
      <c r="M24" s="1"/>
      <c r="P24" s="1"/>
    </row>
    <row r="25" spans="1:16" s="3" customFormat="1" ht="15.95">
      <c r="A25" s="3" t="s">
        <v>822</v>
      </c>
      <c r="B25" s="3" t="s">
        <v>823</v>
      </c>
      <c r="D25" s="13">
        <v>24500</v>
      </c>
      <c r="E25" s="13">
        <v>32822.82</v>
      </c>
      <c r="F25" s="13"/>
      <c r="K25" s="8" t="b">
        <v>0</v>
      </c>
      <c r="M25" s="8" t="b">
        <v>0</v>
      </c>
      <c r="N25" s="10"/>
      <c r="P25" s="8" t="b">
        <v>0</v>
      </c>
    </row>
    <row r="26" spans="1:16" s="3" customFormat="1" ht="15.95">
      <c r="B26" s="3" t="s">
        <v>410</v>
      </c>
      <c r="D26" s="13"/>
      <c r="E26" s="13"/>
      <c r="F26" s="13"/>
      <c r="K26" s="8" t="b">
        <v>0</v>
      </c>
      <c r="M26" s="8" t="b">
        <v>0</v>
      </c>
      <c r="N26" s="10"/>
      <c r="P26" s="8" t="b">
        <v>0</v>
      </c>
    </row>
    <row r="27" spans="1:16" s="3" customFormat="1" ht="15.95">
      <c r="D27" s="13"/>
      <c r="E27" s="13"/>
      <c r="F27" s="13"/>
      <c r="K27" s="8" t="b">
        <v>0</v>
      </c>
      <c r="M27" s="8" t="b">
        <v>0</v>
      </c>
      <c r="N27" s="10"/>
      <c r="P27" s="8" t="b">
        <v>0</v>
      </c>
    </row>
    <row r="28" spans="1:16" s="3" customFormat="1" ht="15.95">
      <c r="D28" s="13"/>
      <c r="E28" s="13"/>
      <c r="F28" s="13"/>
      <c r="K28" s="1"/>
      <c r="M28" s="1"/>
      <c r="N28" s="10"/>
      <c r="P28" s="1"/>
    </row>
    <row r="29" spans="1:16" s="3" customFormat="1" ht="15.95">
      <c r="A29" s="3" t="s">
        <v>411</v>
      </c>
      <c r="B29" s="3" t="s">
        <v>824</v>
      </c>
      <c r="D29" s="13">
        <v>12000</v>
      </c>
      <c r="E29" s="13"/>
      <c r="F29" s="13"/>
      <c r="K29" s="8" t="b">
        <v>0</v>
      </c>
      <c r="L29" s="10">
        <v>45874</v>
      </c>
      <c r="M29" s="8" t="b">
        <v>1</v>
      </c>
      <c r="N29" s="10"/>
      <c r="P29" s="8" t="b">
        <v>0</v>
      </c>
    </row>
    <row r="30" spans="1:16" s="3" customFormat="1" ht="15.95">
      <c r="B30" s="3" t="s">
        <v>825</v>
      </c>
      <c r="D30" s="13"/>
      <c r="E30" s="13">
        <v>5200</v>
      </c>
      <c r="F30" s="13"/>
      <c r="I30" s="10"/>
      <c r="K30" s="1"/>
      <c r="M30" s="10"/>
    </row>
    <row r="31" spans="1:16" ht="15.95">
      <c r="A31" s="20"/>
      <c r="B31" s="20" t="s">
        <v>826</v>
      </c>
      <c r="C31" s="20"/>
      <c r="D31" s="13"/>
      <c r="E31" s="13">
        <v>2040</v>
      </c>
      <c r="F31" s="3"/>
      <c r="G31" s="3"/>
      <c r="H31" s="3"/>
      <c r="I31" s="8" t="b">
        <v>0</v>
      </c>
      <c r="J31" s="10"/>
      <c r="K31" s="8" t="b">
        <v>0</v>
      </c>
      <c r="L31" s="10"/>
      <c r="M31" s="8" t="b">
        <v>0</v>
      </c>
      <c r="N31" s="3"/>
      <c r="O31" s="3"/>
      <c r="P31" s="8" t="b">
        <v>0</v>
      </c>
    </row>
    <row r="32" spans="1:16" ht="15.95">
      <c r="A32" s="20"/>
      <c r="B32" s="20"/>
      <c r="C32" s="20"/>
      <c r="D32" s="13"/>
      <c r="E32" s="13"/>
      <c r="F32" s="3"/>
      <c r="G32" s="3"/>
      <c r="H32" s="3"/>
      <c r="I32" s="8" t="b">
        <v>0</v>
      </c>
      <c r="J32" s="3"/>
      <c r="K32" s="8" t="b">
        <v>0</v>
      </c>
      <c r="L32" s="3"/>
      <c r="M32" s="8" t="b">
        <v>0</v>
      </c>
      <c r="N32" s="3"/>
      <c r="O32" s="3"/>
      <c r="P32" s="8" t="b">
        <v>0</v>
      </c>
    </row>
    <row r="33" spans="1:16" ht="15.95">
      <c r="A33" s="20" t="s">
        <v>665</v>
      </c>
      <c r="B33" s="20"/>
      <c r="C33" s="20" t="s">
        <v>827</v>
      </c>
      <c r="D33" s="13"/>
      <c r="E33" s="13"/>
      <c r="F33" s="3"/>
      <c r="G33" s="3"/>
      <c r="H33" s="3"/>
      <c r="I33" s="8" t="b">
        <v>0</v>
      </c>
      <c r="J33" s="3"/>
      <c r="K33" s="8" t="b">
        <v>0</v>
      </c>
      <c r="L33" s="3"/>
      <c r="M33" s="8" t="b">
        <v>0</v>
      </c>
      <c r="N33" s="3"/>
      <c r="O33" s="3"/>
      <c r="P33" s="8" t="b">
        <v>0</v>
      </c>
    </row>
    <row r="34" spans="1:16" ht="15.95">
      <c r="A34" s="20"/>
      <c r="B34" s="20"/>
      <c r="C34" s="20"/>
      <c r="D34" s="13"/>
      <c r="E34" s="13"/>
      <c r="F34" s="3"/>
      <c r="G34" s="3"/>
      <c r="H34" s="3"/>
      <c r="I34" s="8" t="b">
        <v>0</v>
      </c>
      <c r="J34" s="3"/>
      <c r="K34" s="8" t="b">
        <v>0</v>
      </c>
      <c r="L34" s="3"/>
      <c r="M34" s="8" t="b">
        <v>0</v>
      </c>
      <c r="N34" s="3"/>
      <c r="O34" s="3"/>
      <c r="P34" s="8" t="b">
        <v>0</v>
      </c>
    </row>
    <row r="35" spans="1:16" ht="15.95">
      <c r="A35" s="20"/>
      <c r="B35" s="20"/>
      <c r="C35" s="20"/>
      <c r="D35" s="13"/>
      <c r="E35" s="13"/>
      <c r="F35" s="3"/>
      <c r="G35" s="3"/>
      <c r="H35" s="3"/>
      <c r="I35" s="8" t="b">
        <v>0</v>
      </c>
      <c r="J35" s="3"/>
      <c r="K35" s="8" t="b">
        <v>0</v>
      </c>
      <c r="L35" s="3"/>
      <c r="M35" s="8" t="b">
        <v>0</v>
      </c>
      <c r="N35" s="3"/>
      <c r="O35" s="3"/>
      <c r="P35" s="8" t="b">
        <v>0</v>
      </c>
    </row>
    <row r="36" spans="1:16" ht="15.95">
      <c r="A36" s="20" t="s">
        <v>828</v>
      </c>
      <c r="B36" s="20"/>
      <c r="C36" s="20" t="s">
        <v>829</v>
      </c>
      <c r="D36" s="13"/>
      <c r="E36" s="13"/>
      <c r="F36" s="3"/>
      <c r="G36" s="3"/>
      <c r="H36" s="3"/>
      <c r="I36" s="8" t="b">
        <v>0</v>
      </c>
      <c r="J36" s="3"/>
      <c r="K36" s="8" t="b">
        <v>0</v>
      </c>
      <c r="L36" s="3"/>
      <c r="M36" s="8" t="b">
        <v>0</v>
      </c>
      <c r="N36" s="3"/>
      <c r="O36" s="3"/>
      <c r="P36" s="8" t="b">
        <v>0</v>
      </c>
    </row>
    <row r="37" spans="1:16" ht="15.95">
      <c r="A37" s="20"/>
      <c r="B37" s="20"/>
      <c r="C37" s="20"/>
      <c r="D37" s="13"/>
      <c r="E37" s="13"/>
      <c r="F37" s="3"/>
      <c r="G37" s="3"/>
      <c r="H37" s="3"/>
      <c r="I37" s="8" t="b">
        <v>0</v>
      </c>
      <c r="J37" s="3"/>
      <c r="K37" s="8" t="b">
        <v>0</v>
      </c>
      <c r="L37" s="3"/>
      <c r="M37" s="8" t="b">
        <v>0</v>
      </c>
      <c r="N37" s="3"/>
      <c r="O37" s="3"/>
      <c r="P37" s="8" t="b">
        <v>0</v>
      </c>
    </row>
    <row r="38" spans="1:16" ht="15.95">
      <c r="A38" s="20"/>
      <c r="B38" s="20"/>
      <c r="C38" s="20"/>
      <c r="D38" s="13"/>
      <c r="E38" s="13"/>
      <c r="F38" s="3"/>
      <c r="G38" s="3"/>
      <c r="H38" s="3"/>
      <c r="I38" s="8" t="b">
        <v>0</v>
      </c>
      <c r="J38" s="3"/>
      <c r="K38" s="8" t="b">
        <v>0</v>
      </c>
      <c r="L38" s="3"/>
      <c r="M38" s="8" t="b">
        <v>0</v>
      </c>
      <c r="N38" s="3"/>
      <c r="O38" s="3"/>
      <c r="P38" s="8" t="b">
        <v>0</v>
      </c>
    </row>
    <row r="39" spans="1:16" ht="15.95">
      <c r="A39" s="20" t="s">
        <v>366</v>
      </c>
      <c r="B39" s="20"/>
      <c r="C39" s="20" t="s">
        <v>830</v>
      </c>
      <c r="D39" s="13"/>
      <c r="E39" s="13"/>
      <c r="F39" s="3"/>
      <c r="G39" s="3"/>
      <c r="H39" s="3"/>
      <c r="I39" s="8" t="b">
        <v>0</v>
      </c>
      <c r="J39" s="3"/>
      <c r="K39" s="8" t="b">
        <v>0</v>
      </c>
      <c r="L39" s="3"/>
      <c r="M39" s="8" t="b">
        <v>0</v>
      </c>
      <c r="N39" s="3"/>
      <c r="O39" s="3"/>
      <c r="P39" s="8" t="b">
        <v>0</v>
      </c>
    </row>
    <row r="40" spans="1:16" ht="15.95">
      <c r="A40" s="20"/>
      <c r="B40" s="20"/>
      <c r="C40" s="20" t="s">
        <v>831</v>
      </c>
      <c r="D40" s="13"/>
      <c r="E40" s="13">
        <v>8343.74</v>
      </c>
      <c r="F40" s="3" t="s">
        <v>8</v>
      </c>
      <c r="G40" s="3"/>
      <c r="H40" s="3"/>
      <c r="I40" s="8" t="b">
        <v>0</v>
      </c>
      <c r="J40" s="10">
        <v>45840</v>
      </c>
      <c r="K40" s="51" t="b">
        <v>1</v>
      </c>
      <c r="L40" s="10">
        <v>45840</v>
      </c>
      <c r="M40" s="8" t="b">
        <v>1</v>
      </c>
      <c r="N40" s="3"/>
      <c r="O40" s="3"/>
      <c r="P40" s="8" t="b">
        <v>0</v>
      </c>
    </row>
    <row r="41" spans="1:16" ht="15.95">
      <c r="A41" s="20"/>
      <c r="B41" s="20"/>
      <c r="C41" s="20"/>
      <c r="D41" s="13"/>
      <c r="E41" s="13"/>
      <c r="F41" s="3"/>
      <c r="G41" s="3"/>
      <c r="H41" s="3"/>
      <c r="I41" s="8" t="b">
        <v>0</v>
      </c>
      <c r="J41" s="3"/>
      <c r="K41" s="8" t="b">
        <v>0</v>
      </c>
      <c r="L41" s="3"/>
      <c r="M41" s="8" t="b">
        <v>0</v>
      </c>
      <c r="N41" s="3"/>
      <c r="O41" s="3"/>
      <c r="P41" s="8" t="b">
        <v>0</v>
      </c>
    </row>
    <row r="42" spans="1:16" ht="15.95">
      <c r="A42" s="20"/>
      <c r="B42" s="20"/>
      <c r="C42" s="20"/>
      <c r="D42" s="13"/>
      <c r="E42" s="13"/>
      <c r="F42" s="3"/>
      <c r="G42" s="3"/>
      <c r="H42" s="3"/>
      <c r="I42" s="8" t="b">
        <v>0</v>
      </c>
      <c r="J42" s="3"/>
      <c r="K42" s="8" t="b">
        <v>0</v>
      </c>
      <c r="L42" s="3"/>
      <c r="M42" s="8" t="b">
        <v>0</v>
      </c>
      <c r="N42" s="3"/>
      <c r="O42" s="3"/>
      <c r="P42" s="8" t="b">
        <v>0</v>
      </c>
    </row>
    <row r="43" spans="1:16" ht="15.95">
      <c r="A43" s="20"/>
      <c r="B43" s="20"/>
      <c r="C43" s="20"/>
      <c r="D43" s="13"/>
      <c r="E43" s="13"/>
      <c r="F43" s="3"/>
      <c r="G43" s="3"/>
      <c r="H43" s="3"/>
      <c r="I43" s="8" t="b">
        <v>0</v>
      </c>
      <c r="J43" s="3"/>
      <c r="K43" s="8" t="b">
        <v>0</v>
      </c>
      <c r="L43" s="3"/>
      <c r="M43" s="8" t="b">
        <v>0</v>
      </c>
      <c r="N43" s="3"/>
      <c r="O43" s="3"/>
      <c r="P43" s="8" t="b">
        <v>0</v>
      </c>
    </row>
    <row r="44" spans="1:16" ht="15.95">
      <c r="A44" s="20"/>
      <c r="B44" s="20"/>
      <c r="C44" s="20"/>
      <c r="D44" s="13"/>
      <c r="E44" s="13"/>
      <c r="F44" s="3"/>
      <c r="G44" s="3"/>
      <c r="H44" s="3"/>
      <c r="I44" s="8" t="b">
        <v>0</v>
      </c>
      <c r="J44" s="3"/>
      <c r="K44" s="8" t="b">
        <v>0</v>
      </c>
      <c r="L44" s="3"/>
      <c r="M44" s="8" t="b">
        <v>0</v>
      </c>
      <c r="N44" s="3"/>
      <c r="O44" s="3"/>
      <c r="P44" s="8" t="b">
        <v>0</v>
      </c>
    </row>
    <row r="45" spans="1:16" ht="15.95">
      <c r="A45" s="20" t="s">
        <v>832</v>
      </c>
      <c r="B45" s="20"/>
      <c r="C45" s="20" t="s">
        <v>833</v>
      </c>
      <c r="D45" s="13"/>
      <c r="E45" s="13"/>
      <c r="F45" s="3"/>
      <c r="G45" s="3"/>
      <c r="H45" s="3"/>
      <c r="I45" s="8" t="b">
        <v>0</v>
      </c>
      <c r="J45" s="3"/>
      <c r="K45" s="8" t="b">
        <v>0</v>
      </c>
      <c r="L45" s="3"/>
      <c r="M45" s="8" t="b">
        <v>0</v>
      </c>
      <c r="N45" s="3"/>
      <c r="O45" s="3"/>
      <c r="P45" s="8" t="b">
        <v>0</v>
      </c>
    </row>
    <row r="46" spans="1:16" ht="15.95">
      <c r="A46" s="20"/>
      <c r="B46" s="20"/>
      <c r="C46" s="20" t="s">
        <v>516</v>
      </c>
      <c r="D46" s="13"/>
      <c r="E46" s="13"/>
      <c r="F46" s="3"/>
      <c r="G46" s="3"/>
      <c r="H46" s="3"/>
      <c r="I46" s="8" t="b">
        <v>0</v>
      </c>
      <c r="J46" s="3"/>
      <c r="K46" s="8" t="b">
        <v>0</v>
      </c>
      <c r="L46" s="3"/>
      <c r="M46" s="8" t="b">
        <v>0</v>
      </c>
      <c r="N46" s="3"/>
      <c r="O46" s="3"/>
      <c r="P46" s="8" t="b">
        <v>0</v>
      </c>
    </row>
    <row r="47" spans="1:16" ht="15.95">
      <c r="A47" s="20"/>
      <c r="B47" s="20"/>
      <c r="C47" s="20" t="s">
        <v>834</v>
      </c>
      <c r="D47" s="13"/>
      <c r="E47" s="13"/>
      <c r="F47" s="3"/>
      <c r="G47" s="3"/>
      <c r="H47" s="3"/>
      <c r="I47" s="8" t="b">
        <v>0</v>
      </c>
      <c r="J47" s="3"/>
      <c r="K47" s="8" t="b">
        <v>0</v>
      </c>
      <c r="L47" s="3"/>
      <c r="M47" s="8" t="b">
        <v>0</v>
      </c>
      <c r="N47" s="3"/>
      <c r="O47" s="3"/>
      <c r="P47" s="8" t="b">
        <v>0</v>
      </c>
    </row>
    <row r="48" spans="1:16" ht="15.95">
      <c r="A48" s="20" t="s">
        <v>835</v>
      </c>
      <c r="B48" s="20"/>
      <c r="C48" s="20" t="s">
        <v>836</v>
      </c>
      <c r="D48" s="13"/>
      <c r="E48" s="13"/>
      <c r="F48" s="22"/>
      <c r="G48" s="3"/>
      <c r="H48" s="3"/>
      <c r="I48" s="8" t="b">
        <v>0</v>
      </c>
      <c r="J48" s="3"/>
      <c r="K48" s="8" t="b">
        <v>0</v>
      </c>
      <c r="L48" s="3"/>
      <c r="M48" s="8" t="b">
        <v>0</v>
      </c>
      <c r="N48" s="3"/>
      <c r="O48" s="3"/>
      <c r="P48" s="8" t="b">
        <v>0</v>
      </c>
    </row>
    <row r="49" spans="1:16" ht="15.95">
      <c r="A49" s="20"/>
      <c r="B49" s="20"/>
      <c r="C49" s="20"/>
      <c r="D49" s="13"/>
      <c r="E49" s="13"/>
      <c r="F49" s="3"/>
      <c r="G49" s="3"/>
      <c r="H49" s="3"/>
      <c r="I49" s="8" t="b">
        <v>0</v>
      </c>
      <c r="J49" s="3"/>
      <c r="K49" s="8" t="b">
        <v>0</v>
      </c>
      <c r="L49" s="3"/>
      <c r="M49" s="8" t="b">
        <v>0</v>
      </c>
      <c r="N49" s="3"/>
      <c r="O49" s="3"/>
      <c r="P49" s="8" t="b">
        <v>0</v>
      </c>
    </row>
    <row r="51" spans="1:16" ht="15.95">
      <c r="A51" s="20"/>
      <c r="B51" s="20"/>
      <c r="C51" s="20"/>
      <c r="D51" s="13"/>
      <c r="E51" s="13"/>
      <c r="F51" s="22"/>
      <c r="G51" s="3"/>
      <c r="H51" s="3"/>
      <c r="I51" s="18"/>
      <c r="J51" s="3"/>
      <c r="K51" s="18"/>
      <c r="L51" s="3"/>
      <c r="M51" s="18"/>
      <c r="N51" s="3"/>
      <c r="O51" s="3"/>
      <c r="P51" s="18"/>
    </row>
    <row r="52" spans="1:16" ht="15.95">
      <c r="A52" s="20" t="s">
        <v>837</v>
      </c>
      <c r="B52" s="20"/>
      <c r="C52" s="20" t="s">
        <v>833</v>
      </c>
      <c r="D52" s="13"/>
      <c r="E52" s="13"/>
      <c r="F52" s="3"/>
      <c r="G52" s="3"/>
      <c r="H52" s="3"/>
      <c r="I52" s="8" t="b">
        <v>0</v>
      </c>
      <c r="J52" s="3"/>
      <c r="K52" s="8" t="b">
        <v>0</v>
      </c>
      <c r="L52" s="3"/>
      <c r="M52" s="8" t="b">
        <v>0</v>
      </c>
      <c r="N52" s="3"/>
      <c r="O52" s="3"/>
      <c r="P52" s="8" t="b">
        <v>0</v>
      </c>
    </row>
    <row r="53" spans="1:16" ht="15.95">
      <c r="A53" s="20"/>
      <c r="B53" s="20"/>
      <c r="C53" s="20" t="s">
        <v>516</v>
      </c>
      <c r="D53" s="13"/>
      <c r="E53" s="13"/>
      <c r="F53" s="3"/>
      <c r="G53" s="3"/>
      <c r="H53" s="3"/>
      <c r="I53" s="8" t="b">
        <v>0</v>
      </c>
      <c r="J53" s="3"/>
      <c r="K53" s="8" t="b">
        <v>0</v>
      </c>
      <c r="L53" s="3"/>
      <c r="M53" s="8" t="b">
        <v>0</v>
      </c>
      <c r="N53" s="3"/>
      <c r="O53" s="3"/>
      <c r="P53" s="8" t="b">
        <v>0</v>
      </c>
    </row>
    <row r="54" spans="1:16" ht="15.95">
      <c r="A54" s="20"/>
      <c r="B54" s="20"/>
      <c r="C54" s="20"/>
      <c r="D54" s="13"/>
      <c r="E54" s="13"/>
      <c r="F54" s="3"/>
      <c r="G54" s="3"/>
      <c r="H54" s="3"/>
      <c r="I54" s="8" t="b">
        <v>0</v>
      </c>
      <c r="J54" s="3"/>
      <c r="K54" s="8" t="b">
        <v>0</v>
      </c>
      <c r="L54" s="10"/>
      <c r="M54" s="8" t="b">
        <v>0</v>
      </c>
      <c r="N54" s="3"/>
      <c r="O54" s="3"/>
      <c r="P54" s="8" t="b">
        <v>0</v>
      </c>
    </row>
    <row r="55" spans="1:16" ht="15.95">
      <c r="A55" s="20" t="s">
        <v>838</v>
      </c>
      <c r="B55" s="20"/>
      <c r="C55" s="20" t="s">
        <v>839</v>
      </c>
      <c r="D55" s="13"/>
      <c r="E55" s="13"/>
      <c r="F55" s="22"/>
      <c r="G55" s="3"/>
      <c r="H55" s="3"/>
      <c r="I55" s="8" t="b">
        <v>0</v>
      </c>
      <c r="J55" s="3"/>
      <c r="K55" s="8" t="b">
        <v>0</v>
      </c>
      <c r="L55" s="3"/>
      <c r="M55" s="8" t="b">
        <v>0</v>
      </c>
      <c r="N55" s="3"/>
      <c r="O55" s="3"/>
      <c r="P55" s="8" t="b">
        <v>0</v>
      </c>
    </row>
    <row r="56" spans="1:16" ht="15.95">
      <c r="A56" s="20"/>
      <c r="B56" s="20"/>
      <c r="C56" s="20"/>
      <c r="D56" s="13"/>
      <c r="E56" s="13"/>
      <c r="F56" s="3"/>
      <c r="G56" s="3"/>
      <c r="H56" s="3"/>
      <c r="I56" s="8" t="b">
        <v>0</v>
      </c>
      <c r="J56" s="3"/>
      <c r="K56" s="8" t="b">
        <v>0</v>
      </c>
      <c r="L56" s="3"/>
      <c r="M56" s="8" t="b">
        <v>0</v>
      </c>
      <c r="N56" s="3"/>
      <c r="O56" s="3"/>
      <c r="P56" s="8" t="b">
        <v>0</v>
      </c>
    </row>
    <row r="57" spans="1:16" ht="15.95">
      <c r="A57" s="20" t="s">
        <v>840</v>
      </c>
      <c r="B57" s="20"/>
      <c r="C57" s="20" t="s">
        <v>833</v>
      </c>
      <c r="D57" s="13"/>
      <c r="E57" s="13"/>
      <c r="F57" s="3"/>
      <c r="G57" s="3"/>
      <c r="H57" s="3"/>
      <c r="I57" s="8" t="b">
        <v>0</v>
      </c>
      <c r="J57" s="3"/>
      <c r="K57" s="8" t="b">
        <v>0</v>
      </c>
      <c r="L57" s="3"/>
      <c r="M57" s="8" t="b">
        <v>0</v>
      </c>
      <c r="N57" s="3"/>
      <c r="O57" s="3"/>
      <c r="P57" s="8" t="b">
        <v>0</v>
      </c>
    </row>
    <row r="58" spans="1:16" ht="15.95">
      <c r="A58" s="20"/>
      <c r="B58" s="20"/>
      <c r="C58" s="20" t="s">
        <v>841</v>
      </c>
      <c r="D58" s="13"/>
      <c r="E58" s="13"/>
      <c r="F58" s="3"/>
      <c r="G58" s="3"/>
      <c r="H58" s="3"/>
      <c r="I58" s="8" t="b">
        <v>0</v>
      </c>
      <c r="J58" s="3"/>
      <c r="K58" s="8" t="b">
        <v>0</v>
      </c>
      <c r="L58" s="3"/>
      <c r="M58" s="8" t="b">
        <v>0</v>
      </c>
      <c r="N58" s="3"/>
      <c r="O58" s="3"/>
      <c r="P58" s="8" t="b">
        <v>0</v>
      </c>
    </row>
    <row r="59" spans="1:16" ht="15.95">
      <c r="A59" s="20"/>
      <c r="B59" s="20"/>
      <c r="C59" s="20" t="s">
        <v>842</v>
      </c>
      <c r="D59" s="13"/>
      <c r="E59" s="13"/>
      <c r="F59" s="3"/>
      <c r="G59" s="3"/>
      <c r="H59" s="3"/>
      <c r="I59" s="8" t="b">
        <v>0</v>
      </c>
      <c r="J59" s="3"/>
      <c r="K59" s="8" t="b">
        <v>0</v>
      </c>
      <c r="L59" s="3"/>
      <c r="M59" s="8" t="b">
        <v>0</v>
      </c>
      <c r="N59" s="3"/>
      <c r="O59" s="3"/>
      <c r="P59" s="8" t="b">
        <v>0</v>
      </c>
    </row>
    <row r="60" spans="1:16" ht="15.95">
      <c r="A60" s="20"/>
      <c r="B60" s="20"/>
      <c r="C60" s="20" t="s">
        <v>834</v>
      </c>
      <c r="D60" s="13"/>
      <c r="E60" s="13"/>
      <c r="F60" s="3"/>
      <c r="G60" s="3"/>
      <c r="H60" s="3"/>
      <c r="I60" s="8" t="b">
        <v>0</v>
      </c>
      <c r="J60" s="3"/>
      <c r="K60" s="8" t="b">
        <v>0</v>
      </c>
      <c r="L60" s="3"/>
      <c r="M60" s="8" t="b">
        <v>0</v>
      </c>
      <c r="N60" s="3"/>
      <c r="O60" s="3"/>
      <c r="P60" s="8" t="b">
        <v>0</v>
      </c>
    </row>
    <row r="61" spans="1:16" ht="15.95">
      <c r="A61" s="20" t="s">
        <v>843</v>
      </c>
      <c r="B61" s="20"/>
      <c r="C61" s="20" t="s">
        <v>844</v>
      </c>
      <c r="D61" s="13"/>
      <c r="E61" s="13"/>
      <c r="F61" s="22"/>
      <c r="G61" s="3"/>
      <c r="H61" s="3"/>
      <c r="I61" s="8" t="b">
        <v>0</v>
      </c>
      <c r="J61" s="3"/>
      <c r="K61" s="8" t="b">
        <v>0</v>
      </c>
      <c r="L61" s="3"/>
      <c r="M61" s="8" t="b">
        <v>0</v>
      </c>
      <c r="N61" s="3"/>
      <c r="O61" s="3"/>
      <c r="P61" s="8" t="b">
        <v>0</v>
      </c>
    </row>
    <row r="62" spans="1:16" ht="15.95">
      <c r="A62" s="20" t="s">
        <v>845</v>
      </c>
      <c r="B62" s="20"/>
      <c r="C62" s="20" t="s">
        <v>846</v>
      </c>
      <c r="D62" s="13">
        <v>1800</v>
      </c>
      <c r="E62" s="13"/>
      <c r="F62" s="22"/>
      <c r="G62" s="3"/>
      <c r="H62" s="3"/>
      <c r="I62" s="8" t="b">
        <v>0</v>
      </c>
      <c r="J62" s="3"/>
      <c r="K62" s="8" t="b">
        <v>0</v>
      </c>
      <c r="L62" s="3"/>
      <c r="M62" s="8" t="b">
        <v>0</v>
      </c>
      <c r="N62" s="3"/>
      <c r="O62" s="3"/>
      <c r="P62" s="8" t="b">
        <v>0</v>
      </c>
    </row>
    <row r="63" spans="1:16" ht="15.95">
      <c r="A63" s="20"/>
      <c r="B63" s="20"/>
      <c r="C63" s="20"/>
      <c r="D63" s="13"/>
      <c r="E63" s="13"/>
      <c r="F63" s="3"/>
      <c r="G63" s="3"/>
      <c r="H63" s="3"/>
      <c r="I63" s="8" t="b">
        <v>0</v>
      </c>
      <c r="J63" s="3"/>
      <c r="K63" s="8" t="b">
        <v>0</v>
      </c>
      <c r="L63" s="3"/>
      <c r="M63" s="8" t="b">
        <v>0</v>
      </c>
      <c r="N63" s="3"/>
      <c r="O63" s="3"/>
      <c r="P63" s="8" t="b">
        <v>0</v>
      </c>
    </row>
    <row r="64" spans="1:16" ht="15.95">
      <c r="A64" s="20" t="s">
        <v>847</v>
      </c>
      <c r="B64" s="20"/>
      <c r="C64" s="20" t="s">
        <v>848</v>
      </c>
      <c r="D64" s="13"/>
      <c r="E64" s="13">
        <v>327.44</v>
      </c>
      <c r="F64" s="3"/>
      <c r="G64" s="3"/>
      <c r="H64" s="3"/>
      <c r="I64" s="8" t="b">
        <v>0</v>
      </c>
      <c r="J64" s="3"/>
      <c r="K64" s="8" t="b">
        <v>0</v>
      </c>
      <c r="L64" s="3"/>
      <c r="M64" s="8" t="b">
        <v>0</v>
      </c>
      <c r="N64" s="3"/>
      <c r="O64" s="3"/>
      <c r="P64" s="8" t="b">
        <v>0</v>
      </c>
    </row>
    <row r="65" spans="1:16" ht="15.95">
      <c r="A65" s="20"/>
      <c r="B65" s="20"/>
      <c r="C65" s="20" t="s">
        <v>206</v>
      </c>
      <c r="D65" s="13"/>
      <c r="E65" s="13"/>
      <c r="F65" s="3"/>
      <c r="G65" s="3"/>
      <c r="H65" s="3"/>
      <c r="I65" s="8" t="b">
        <v>0</v>
      </c>
      <c r="J65" s="3"/>
      <c r="K65" s="8" t="b">
        <v>0</v>
      </c>
      <c r="L65" s="3"/>
      <c r="M65" s="8" t="b">
        <v>0</v>
      </c>
      <c r="N65" s="3"/>
      <c r="O65" s="3"/>
      <c r="P65" s="8" t="b">
        <v>0</v>
      </c>
    </row>
    <row r="66" spans="1:16" ht="15.95">
      <c r="A66" s="20"/>
      <c r="B66" s="20"/>
      <c r="C66" s="20" t="s">
        <v>834</v>
      </c>
      <c r="D66" s="13"/>
      <c r="E66" s="13"/>
      <c r="F66" s="3"/>
      <c r="G66" s="3"/>
      <c r="H66" s="3"/>
      <c r="I66" s="8" t="b">
        <v>0</v>
      </c>
      <c r="J66" s="3"/>
      <c r="K66" s="8" t="b">
        <v>0</v>
      </c>
      <c r="L66" s="3"/>
      <c r="M66" s="8" t="b">
        <v>0</v>
      </c>
      <c r="N66" s="3"/>
      <c r="O66" s="3"/>
      <c r="P66" s="8" t="b">
        <v>0</v>
      </c>
    </row>
    <row r="67" spans="1:16" ht="15.95">
      <c r="A67" s="20"/>
      <c r="B67" s="20"/>
      <c r="C67" s="20" t="s">
        <v>849</v>
      </c>
      <c r="D67" s="13"/>
      <c r="E67" s="13"/>
      <c r="F67" s="22"/>
      <c r="G67" s="3"/>
      <c r="H67" s="3"/>
      <c r="I67" s="8" t="b">
        <v>0</v>
      </c>
      <c r="J67" s="3"/>
      <c r="K67" s="8" t="b">
        <v>0</v>
      </c>
      <c r="L67" s="3"/>
      <c r="M67" s="8" t="b">
        <v>0</v>
      </c>
      <c r="N67" s="3"/>
      <c r="O67" s="3"/>
      <c r="P67" s="8" t="b">
        <v>0</v>
      </c>
    </row>
    <row r="68" spans="1:16" ht="15.95">
      <c r="A68" s="20"/>
      <c r="B68" s="20"/>
      <c r="C68" s="20" t="s">
        <v>850</v>
      </c>
      <c r="D68" s="13"/>
      <c r="E68" s="13"/>
      <c r="F68" s="22"/>
      <c r="G68" s="3"/>
      <c r="H68" s="3"/>
      <c r="I68" s="8" t="b">
        <v>0</v>
      </c>
      <c r="J68" s="3"/>
      <c r="K68" s="8" t="b">
        <v>0</v>
      </c>
      <c r="L68" s="3"/>
      <c r="M68" s="8" t="b">
        <v>0</v>
      </c>
      <c r="N68" s="3"/>
      <c r="O68" s="3"/>
      <c r="P68" s="8" t="b">
        <v>0</v>
      </c>
    </row>
    <row r="69" spans="1:16" ht="15.95">
      <c r="A69" s="20" t="s">
        <v>851</v>
      </c>
      <c r="B69" s="20"/>
      <c r="C69" s="20" t="s">
        <v>852</v>
      </c>
      <c r="D69" s="13"/>
      <c r="E69" s="13"/>
      <c r="F69" s="22"/>
      <c r="G69" s="3"/>
      <c r="H69" s="3"/>
      <c r="I69" s="8" t="b">
        <v>0</v>
      </c>
      <c r="J69" s="3"/>
      <c r="K69" s="8" t="b">
        <v>0</v>
      </c>
      <c r="L69" s="3"/>
      <c r="M69" s="8" t="b">
        <v>0</v>
      </c>
      <c r="N69" s="3"/>
      <c r="O69" s="3"/>
      <c r="P69" s="8" t="b">
        <v>0</v>
      </c>
    </row>
    <row r="70" spans="1:16" ht="15.95">
      <c r="A70" s="20"/>
      <c r="B70" s="20"/>
      <c r="C70" s="20"/>
      <c r="D70" s="13"/>
      <c r="E70" s="13"/>
      <c r="F70" s="22"/>
      <c r="G70" s="3"/>
      <c r="H70" s="3"/>
      <c r="I70" s="8" t="b">
        <v>0</v>
      </c>
      <c r="J70" s="3"/>
      <c r="K70" s="8" t="b">
        <v>0</v>
      </c>
      <c r="L70" s="3"/>
      <c r="M70" s="8" t="b">
        <v>0</v>
      </c>
      <c r="N70" s="3"/>
      <c r="O70" s="3"/>
      <c r="P70" s="8" t="b">
        <v>0</v>
      </c>
    </row>
    <row r="71" spans="1:16" ht="15.95">
      <c r="A71" s="20" t="s">
        <v>853</v>
      </c>
      <c r="B71" s="20"/>
      <c r="C71" s="20" t="s">
        <v>854</v>
      </c>
      <c r="D71" s="13"/>
      <c r="E71" s="13"/>
      <c r="F71" s="3"/>
      <c r="G71" s="3"/>
      <c r="H71" s="3"/>
      <c r="I71" s="8" t="b">
        <v>0</v>
      </c>
      <c r="J71" s="3"/>
      <c r="K71" s="8" t="b">
        <v>0</v>
      </c>
      <c r="L71" s="3"/>
      <c r="M71" s="8" t="b">
        <v>0</v>
      </c>
      <c r="N71" s="3"/>
      <c r="O71" s="3"/>
      <c r="P71" s="8" t="b">
        <v>0</v>
      </c>
    </row>
    <row r="72" spans="1:16" ht="15.95">
      <c r="A72" s="20"/>
      <c r="B72" s="20"/>
      <c r="C72" s="20" t="s">
        <v>849</v>
      </c>
      <c r="D72" s="13"/>
      <c r="E72" s="13"/>
      <c r="F72" s="3"/>
      <c r="G72" s="3"/>
      <c r="H72" s="3"/>
      <c r="I72" s="8" t="b">
        <v>0</v>
      </c>
      <c r="J72" s="3"/>
      <c r="K72" s="8" t="b">
        <v>0</v>
      </c>
      <c r="L72" s="3"/>
      <c r="M72" s="8" t="b">
        <v>0</v>
      </c>
      <c r="N72" s="3"/>
      <c r="O72" s="3"/>
      <c r="P72" s="8" t="b">
        <v>0</v>
      </c>
    </row>
    <row r="73" spans="1:16" ht="15.95">
      <c r="A73" s="20"/>
      <c r="B73" s="20"/>
      <c r="C73" s="20" t="s">
        <v>850</v>
      </c>
      <c r="D73" s="13"/>
      <c r="E73" s="13"/>
      <c r="F73" s="3"/>
      <c r="G73" s="3"/>
      <c r="H73" s="3"/>
      <c r="I73" s="8" t="b">
        <v>0</v>
      </c>
      <c r="J73" s="3"/>
      <c r="K73" s="8" t="b">
        <v>0</v>
      </c>
      <c r="L73" s="3"/>
      <c r="M73" s="8" t="b">
        <v>0</v>
      </c>
      <c r="N73" s="3"/>
      <c r="O73" s="3"/>
      <c r="P73" s="8" t="b">
        <v>0</v>
      </c>
    </row>
    <row r="74" spans="1:16" ht="15.95">
      <c r="A74" s="20"/>
      <c r="B74" s="20"/>
      <c r="C74" s="20"/>
      <c r="D74" s="13"/>
      <c r="E74" s="13"/>
      <c r="F74" s="3"/>
      <c r="G74" s="3"/>
      <c r="H74" s="3"/>
      <c r="I74" s="8" t="b">
        <v>0</v>
      </c>
      <c r="J74" s="3"/>
      <c r="K74" s="8" t="b">
        <v>0</v>
      </c>
      <c r="L74" s="3"/>
      <c r="M74" s="8" t="b">
        <v>0</v>
      </c>
      <c r="N74" s="3"/>
      <c r="O74" s="3"/>
      <c r="P74" s="8" t="b">
        <v>0</v>
      </c>
    </row>
    <row r="75" spans="1:16" ht="15.95">
      <c r="A75" s="20" t="s">
        <v>855</v>
      </c>
      <c r="B75" s="20"/>
      <c r="C75" s="20" t="s">
        <v>856</v>
      </c>
      <c r="D75" s="13">
        <v>7200</v>
      </c>
      <c r="E75" s="13">
        <v>6346.61</v>
      </c>
      <c r="F75" s="3"/>
      <c r="G75" s="3"/>
      <c r="H75" s="3"/>
      <c r="I75" s="8" t="b">
        <v>0</v>
      </c>
      <c r="J75" s="3"/>
      <c r="K75" s="8" t="b">
        <v>0</v>
      </c>
      <c r="L75" s="3"/>
      <c r="M75" s="8" t="b">
        <v>0</v>
      </c>
      <c r="N75" s="3"/>
      <c r="O75" s="3"/>
      <c r="P75" s="8" t="b">
        <v>0</v>
      </c>
    </row>
    <row r="76" spans="1:16" ht="15.95">
      <c r="A76" s="20"/>
      <c r="B76" s="20"/>
      <c r="C76" s="20" t="s">
        <v>857</v>
      </c>
      <c r="D76" s="13"/>
      <c r="E76" s="13"/>
      <c r="F76" s="3"/>
      <c r="G76" s="3"/>
      <c r="H76" s="3"/>
      <c r="I76" s="8" t="b">
        <v>0</v>
      </c>
      <c r="J76" s="3"/>
      <c r="K76" s="8" t="b">
        <v>0</v>
      </c>
      <c r="L76" s="3"/>
      <c r="M76" s="8" t="b">
        <v>0</v>
      </c>
      <c r="N76" s="3"/>
      <c r="O76" s="3"/>
      <c r="P76" s="8" t="b">
        <v>0</v>
      </c>
    </row>
    <row r="77" spans="1:16" ht="15.95">
      <c r="A77" s="20"/>
      <c r="B77" s="20"/>
      <c r="C77" s="20"/>
      <c r="D77" s="13"/>
      <c r="E77" s="13"/>
      <c r="F77" s="3"/>
      <c r="G77" s="3"/>
      <c r="H77" s="3"/>
      <c r="I77" s="8" t="b">
        <v>0</v>
      </c>
      <c r="J77" s="3"/>
      <c r="K77" s="8" t="b">
        <v>0</v>
      </c>
      <c r="L77" s="10"/>
      <c r="M77" s="8" t="b">
        <v>0</v>
      </c>
      <c r="N77" s="3"/>
      <c r="O77" s="3"/>
      <c r="P77" s="8" t="b">
        <v>0</v>
      </c>
    </row>
    <row r="78" spans="1:16" ht="15.95">
      <c r="A78" s="20" t="s">
        <v>858</v>
      </c>
      <c r="B78" s="20"/>
      <c r="C78" s="20" t="s">
        <v>859</v>
      </c>
      <c r="D78" s="13"/>
      <c r="E78" s="13"/>
      <c r="F78" s="3"/>
      <c r="G78" s="3"/>
      <c r="H78" s="3"/>
      <c r="I78" s="8" t="b">
        <v>0</v>
      </c>
      <c r="J78" s="3"/>
      <c r="K78" s="8" t="b">
        <v>0</v>
      </c>
      <c r="L78" s="10"/>
      <c r="M78" s="8" t="b">
        <v>0</v>
      </c>
      <c r="N78" s="3"/>
      <c r="O78" s="3"/>
      <c r="P78" s="8" t="b">
        <v>0</v>
      </c>
    </row>
    <row r="79" spans="1:16" ht="15.95">
      <c r="A79" s="20"/>
      <c r="B79" s="20"/>
      <c r="C79" s="20"/>
      <c r="D79" s="13"/>
      <c r="E79" s="13"/>
      <c r="F79" s="3"/>
      <c r="G79" s="3"/>
      <c r="H79" s="3"/>
      <c r="I79" s="8" t="b">
        <v>0</v>
      </c>
      <c r="J79" s="3"/>
      <c r="K79" s="8" t="b">
        <v>0</v>
      </c>
      <c r="L79" s="10"/>
      <c r="M79" s="8" t="b">
        <v>0</v>
      </c>
      <c r="N79" s="3"/>
      <c r="O79" s="3"/>
      <c r="P79" s="8" t="b">
        <v>0</v>
      </c>
    </row>
    <row r="80" spans="1:16" ht="15.95">
      <c r="A80" s="20" t="s">
        <v>860</v>
      </c>
      <c r="B80" s="20"/>
      <c r="C80" s="20" t="s">
        <v>861</v>
      </c>
      <c r="D80" s="13"/>
      <c r="E80" s="13"/>
      <c r="F80" s="3"/>
      <c r="G80" s="3"/>
      <c r="H80" s="3"/>
      <c r="I80" s="8" t="b">
        <v>0</v>
      </c>
      <c r="J80" s="3"/>
      <c r="K80" s="8" t="b">
        <v>0</v>
      </c>
      <c r="L80" s="10"/>
      <c r="M80" s="8" t="b">
        <v>0</v>
      </c>
      <c r="N80" s="3"/>
      <c r="O80" s="3"/>
      <c r="P80" s="8" t="b">
        <v>0</v>
      </c>
    </row>
    <row r="81" spans="1:16" ht="15.95">
      <c r="A81" s="20"/>
      <c r="B81" s="20"/>
      <c r="C81" s="20"/>
      <c r="D81" s="13"/>
      <c r="E81" s="13"/>
      <c r="F81" s="3"/>
      <c r="G81" s="3"/>
      <c r="H81" s="3"/>
      <c r="I81" s="8" t="b">
        <v>0</v>
      </c>
      <c r="J81" s="3"/>
      <c r="K81" s="8" t="b">
        <v>0</v>
      </c>
      <c r="L81" s="10"/>
      <c r="M81" s="8" t="b">
        <v>0</v>
      </c>
      <c r="N81" s="3"/>
      <c r="O81" s="3"/>
      <c r="P81" s="8" t="b">
        <v>0</v>
      </c>
    </row>
    <row r="82" spans="1:16" ht="15.95">
      <c r="A82" s="20"/>
      <c r="B82" s="20"/>
      <c r="C82" s="20"/>
      <c r="D82" s="13"/>
      <c r="E82" s="13"/>
      <c r="F82" s="3"/>
      <c r="G82" s="3"/>
      <c r="H82" s="3"/>
      <c r="I82" s="8" t="b">
        <v>0</v>
      </c>
      <c r="J82" s="3"/>
      <c r="K82" s="8" t="b">
        <v>0</v>
      </c>
      <c r="L82" s="10"/>
      <c r="M82" s="8" t="b">
        <v>0</v>
      </c>
      <c r="N82" s="3"/>
      <c r="O82" s="3"/>
      <c r="P82" s="8" t="b">
        <v>0</v>
      </c>
    </row>
    <row r="83" spans="1:16" ht="15.95">
      <c r="A83" s="20" t="s">
        <v>596</v>
      </c>
      <c r="B83" s="20"/>
      <c r="C83" s="20" t="s">
        <v>82</v>
      </c>
      <c r="D83" s="13">
        <v>360</v>
      </c>
      <c r="E83" s="13"/>
      <c r="F83" s="3"/>
      <c r="G83" s="3"/>
      <c r="H83" s="3"/>
      <c r="I83" s="8" t="b">
        <v>0</v>
      </c>
      <c r="J83" s="10"/>
      <c r="K83" s="8" t="b">
        <v>0</v>
      </c>
      <c r="L83" s="10"/>
      <c r="M83" s="8" t="b">
        <v>0</v>
      </c>
      <c r="N83" s="3"/>
      <c r="O83" s="10"/>
      <c r="P83" s="8" t="b">
        <v>0</v>
      </c>
    </row>
    <row r="84" spans="1:16" ht="15.95">
      <c r="A84" s="20"/>
      <c r="B84" s="20"/>
      <c r="C84" s="20" t="s">
        <v>35</v>
      </c>
      <c r="D84" s="13"/>
      <c r="E84" s="13">
        <v>259.94</v>
      </c>
      <c r="F84" s="3"/>
      <c r="G84" s="3"/>
      <c r="H84" s="3"/>
      <c r="I84" s="8" t="b">
        <v>0</v>
      </c>
      <c r="J84" s="10"/>
      <c r="K84" s="8" t="b">
        <v>0</v>
      </c>
      <c r="L84" s="10"/>
      <c r="M84" s="8" t="b">
        <v>0</v>
      </c>
      <c r="N84" s="3"/>
      <c r="O84" s="10"/>
      <c r="P84" s="8" t="b">
        <v>0</v>
      </c>
    </row>
    <row r="85" spans="1:16" ht="15.95">
      <c r="A85" s="20"/>
      <c r="B85" s="20"/>
      <c r="C85" s="20" t="s">
        <v>206</v>
      </c>
      <c r="D85" s="13"/>
      <c r="E85" s="13"/>
      <c r="F85" s="3"/>
      <c r="G85" s="3"/>
      <c r="H85" s="3"/>
      <c r="I85" s="8" t="b">
        <v>0</v>
      </c>
      <c r="J85" s="10"/>
      <c r="K85" s="8" t="b">
        <v>0</v>
      </c>
      <c r="L85" s="10"/>
      <c r="M85" s="8" t="b">
        <v>0</v>
      </c>
      <c r="N85" s="3"/>
      <c r="O85" s="10"/>
      <c r="P85" s="8" t="b">
        <v>0</v>
      </c>
    </row>
    <row r="86" spans="1:16" ht="15.95">
      <c r="A86" s="20"/>
      <c r="B86" s="20"/>
      <c r="C86" s="20" t="s">
        <v>28</v>
      </c>
      <c r="D86" s="13">
        <v>700</v>
      </c>
      <c r="E86" s="13">
        <v>1584.89</v>
      </c>
      <c r="F86" s="3"/>
      <c r="G86" s="3"/>
      <c r="H86" s="3"/>
      <c r="I86" s="8" t="b">
        <v>0</v>
      </c>
      <c r="J86" s="10"/>
      <c r="K86" s="8" t="b">
        <v>0</v>
      </c>
      <c r="L86" s="10"/>
      <c r="M86" s="8" t="b">
        <v>0</v>
      </c>
      <c r="N86" s="3"/>
      <c r="O86" s="10"/>
      <c r="P86" s="8" t="b">
        <v>0</v>
      </c>
    </row>
    <row r="87" spans="1:16" ht="15.95">
      <c r="A87" s="20"/>
      <c r="B87" s="20"/>
      <c r="C87" s="20" t="s">
        <v>862</v>
      </c>
      <c r="D87" s="13"/>
      <c r="E87" s="13"/>
      <c r="F87" s="3"/>
      <c r="G87" s="3"/>
      <c r="H87" s="3"/>
      <c r="I87" s="8" t="b">
        <v>0</v>
      </c>
      <c r="J87" s="10"/>
      <c r="K87" s="8" t="b">
        <v>0</v>
      </c>
      <c r="L87" s="10"/>
      <c r="M87" s="8" t="b">
        <v>0</v>
      </c>
      <c r="N87" s="3"/>
      <c r="O87" s="10"/>
      <c r="P87" s="8" t="b">
        <v>0</v>
      </c>
    </row>
    <row r="88" spans="1:16" ht="15.95">
      <c r="A88" s="20"/>
      <c r="B88" s="20"/>
      <c r="C88" s="20" t="s">
        <v>223</v>
      </c>
      <c r="D88" s="13"/>
      <c r="E88" s="13"/>
      <c r="F88" s="3"/>
      <c r="G88" s="3"/>
      <c r="H88" s="10"/>
      <c r="I88" s="8" t="b">
        <v>0</v>
      </c>
      <c r="J88" s="10"/>
      <c r="K88" s="8" t="b">
        <v>0</v>
      </c>
      <c r="L88" s="10"/>
      <c r="M88" s="8" t="b">
        <v>0</v>
      </c>
      <c r="N88" s="3"/>
      <c r="O88" s="10"/>
      <c r="P88" s="8" t="b">
        <v>0</v>
      </c>
    </row>
    <row r="89" spans="1:16" ht="15.95">
      <c r="A89" s="20"/>
      <c r="B89" s="20"/>
      <c r="C89" s="20" t="s">
        <v>565</v>
      </c>
      <c r="D89" s="13"/>
      <c r="E89" s="13"/>
      <c r="F89" s="3"/>
      <c r="G89" s="3"/>
      <c r="H89" s="10"/>
      <c r="I89" s="8" t="b">
        <v>0</v>
      </c>
      <c r="J89" s="10"/>
      <c r="K89" s="8" t="b">
        <v>0</v>
      </c>
      <c r="L89" s="10"/>
      <c r="M89" s="8" t="b">
        <v>0</v>
      </c>
      <c r="N89" s="3"/>
      <c r="O89" s="10"/>
      <c r="P89" s="8" t="b">
        <v>0</v>
      </c>
    </row>
    <row r="90" spans="1:16" ht="15.95">
      <c r="A90" s="20"/>
      <c r="B90" s="20"/>
      <c r="C90" s="20" t="s">
        <v>566</v>
      </c>
      <c r="D90" s="13"/>
      <c r="E90" s="13">
        <v>340.44</v>
      </c>
      <c r="F90" s="3"/>
      <c r="G90" s="3"/>
      <c r="H90" s="3"/>
      <c r="I90" s="8" t="b">
        <v>0</v>
      </c>
      <c r="J90" s="10"/>
      <c r="K90" s="8" t="b">
        <v>0</v>
      </c>
      <c r="L90" s="10"/>
      <c r="M90" s="8" t="b">
        <v>0</v>
      </c>
      <c r="N90" s="3"/>
      <c r="O90" s="10"/>
      <c r="P90" s="8" t="b">
        <v>0</v>
      </c>
    </row>
    <row r="91" spans="1:16" ht="15.95">
      <c r="A91" s="20"/>
      <c r="B91" s="20"/>
      <c r="C91" s="20" t="s">
        <v>863</v>
      </c>
      <c r="D91" s="13"/>
      <c r="E91" s="13"/>
      <c r="F91" s="3"/>
      <c r="G91" s="3"/>
      <c r="H91" s="3"/>
      <c r="I91" s="8" t="b">
        <v>0</v>
      </c>
      <c r="J91" s="10"/>
      <c r="K91" s="8" t="b">
        <v>0</v>
      </c>
      <c r="L91" s="10"/>
      <c r="M91" s="8" t="b">
        <v>0</v>
      </c>
      <c r="N91" s="3"/>
      <c r="O91" s="10"/>
      <c r="P91" s="8" t="b">
        <v>0</v>
      </c>
    </row>
    <row r="92" spans="1:16" ht="15.95">
      <c r="A92" s="20"/>
      <c r="B92" s="20"/>
      <c r="C92" s="20" t="s">
        <v>568</v>
      </c>
      <c r="D92" s="13"/>
      <c r="E92" s="13"/>
      <c r="F92" s="3"/>
      <c r="G92" s="3"/>
      <c r="H92" s="3"/>
      <c r="I92" s="8" t="b">
        <v>0</v>
      </c>
      <c r="J92" s="10"/>
      <c r="K92" s="8" t="b">
        <v>0</v>
      </c>
      <c r="L92" s="10"/>
      <c r="M92" s="8" t="b">
        <v>0</v>
      </c>
      <c r="N92" s="3"/>
      <c r="O92" s="10"/>
      <c r="P92" s="8" t="b">
        <v>0</v>
      </c>
    </row>
    <row r="93" spans="1:16" ht="15.95">
      <c r="A93" s="20"/>
      <c r="B93" s="20"/>
      <c r="C93" s="20" t="s">
        <v>569</v>
      </c>
      <c r="D93" s="13"/>
      <c r="E93" s="13"/>
      <c r="F93" s="3"/>
      <c r="G93" s="3"/>
      <c r="H93" s="10"/>
      <c r="I93" s="8" t="b">
        <v>0</v>
      </c>
      <c r="J93" s="10"/>
      <c r="K93" s="8" t="b">
        <v>0</v>
      </c>
      <c r="L93" s="10"/>
      <c r="M93" s="8" t="b">
        <v>0</v>
      </c>
      <c r="N93" s="3"/>
      <c r="O93" s="10"/>
      <c r="P93" s="8" t="b">
        <v>0</v>
      </c>
    </row>
    <row r="94" spans="1:16" ht="15.95">
      <c r="A94" s="20"/>
      <c r="B94" s="20"/>
      <c r="C94" s="20" t="s">
        <v>864</v>
      </c>
      <c r="D94" s="13"/>
      <c r="E94" s="13"/>
      <c r="F94" s="3"/>
      <c r="G94" s="3"/>
      <c r="H94" s="10"/>
      <c r="I94" s="8" t="b">
        <v>0</v>
      </c>
      <c r="J94" s="10"/>
      <c r="K94" s="8" t="b">
        <v>0</v>
      </c>
      <c r="L94" s="10"/>
      <c r="M94" s="8" t="b">
        <v>0</v>
      </c>
      <c r="N94" s="3"/>
      <c r="O94" s="10"/>
      <c r="P94" s="8" t="b">
        <v>0</v>
      </c>
    </row>
    <row r="95" spans="1:16" ht="15.95">
      <c r="A95" s="20"/>
      <c r="B95" s="20"/>
      <c r="C95" s="20" t="s">
        <v>810</v>
      </c>
      <c r="D95" s="13"/>
      <c r="E95" s="13"/>
      <c r="F95" s="3"/>
      <c r="G95" s="3"/>
      <c r="H95" s="10"/>
      <c r="I95" s="8" t="b">
        <v>0</v>
      </c>
      <c r="J95" s="10"/>
      <c r="K95" s="8" t="b">
        <v>0</v>
      </c>
      <c r="L95" s="10"/>
      <c r="M95" s="8" t="b">
        <v>0</v>
      </c>
      <c r="N95" s="3"/>
      <c r="O95" s="10"/>
      <c r="P95" s="8" t="b">
        <v>0</v>
      </c>
    </row>
    <row r="96" spans="1:16" ht="15.95">
      <c r="A96" s="20"/>
      <c r="B96" s="20"/>
      <c r="C96" s="20" t="s">
        <v>809</v>
      </c>
      <c r="D96" s="13">
        <v>2800</v>
      </c>
      <c r="E96" s="13"/>
      <c r="F96" s="3"/>
      <c r="G96" s="3"/>
      <c r="H96" s="10"/>
      <c r="I96" s="8" t="b">
        <v>0</v>
      </c>
      <c r="J96" s="10"/>
      <c r="K96" s="8" t="b">
        <v>0</v>
      </c>
      <c r="L96" s="10"/>
      <c r="M96" s="8" t="b">
        <v>0</v>
      </c>
      <c r="N96" s="3"/>
      <c r="O96" s="10"/>
      <c r="P96" s="8" t="b">
        <v>0</v>
      </c>
    </row>
    <row r="97" spans="1:20" ht="15.95">
      <c r="A97" s="20"/>
      <c r="B97" s="20"/>
      <c r="C97" s="31" t="s">
        <v>87</v>
      </c>
      <c r="D97" s="13">
        <v>390</v>
      </c>
      <c r="E97" s="13"/>
      <c r="F97" s="3"/>
      <c r="G97" s="3"/>
      <c r="H97" s="10"/>
      <c r="I97" s="8" t="b">
        <v>0</v>
      </c>
      <c r="J97" s="10"/>
      <c r="K97" s="8" t="b">
        <v>0</v>
      </c>
      <c r="L97" s="10"/>
      <c r="M97" s="8" t="b">
        <v>0</v>
      </c>
      <c r="N97" s="3"/>
      <c r="O97" s="10"/>
      <c r="P97" s="8" t="b">
        <v>0</v>
      </c>
      <c r="Q97" s="3"/>
      <c r="R97" s="3"/>
      <c r="S97" s="3"/>
      <c r="T97" s="3"/>
    </row>
    <row r="98" spans="1:20" ht="15.95">
      <c r="A98" s="20"/>
      <c r="B98" s="20"/>
      <c r="C98" s="31" t="s">
        <v>865</v>
      </c>
      <c r="D98" s="13"/>
      <c r="E98" s="13"/>
      <c r="F98" s="3"/>
      <c r="G98" s="3"/>
      <c r="H98" s="10"/>
      <c r="I98" s="8" t="b">
        <v>0</v>
      </c>
      <c r="J98" s="10"/>
      <c r="K98" s="8" t="b">
        <v>0</v>
      </c>
      <c r="L98" s="10"/>
      <c r="M98" s="8" t="b">
        <v>0</v>
      </c>
      <c r="N98" s="3"/>
      <c r="O98" s="10"/>
      <c r="P98" s="8" t="b">
        <v>0</v>
      </c>
      <c r="Q98" s="3"/>
      <c r="R98" s="3"/>
      <c r="S98" s="3"/>
      <c r="T98" s="3"/>
    </row>
    <row r="99" spans="1:20" ht="15.95">
      <c r="A99" s="20"/>
      <c r="B99" s="20"/>
      <c r="C99" s="31" t="s">
        <v>471</v>
      </c>
      <c r="D99" s="13"/>
      <c r="E99" s="13"/>
      <c r="F99" s="3"/>
      <c r="G99" s="3"/>
      <c r="H99" s="10"/>
      <c r="I99" s="8" t="b">
        <v>0</v>
      </c>
      <c r="J99" s="10"/>
      <c r="K99" s="8" t="b">
        <v>0</v>
      </c>
      <c r="L99" s="10"/>
      <c r="M99" s="8" t="b">
        <v>0</v>
      </c>
      <c r="N99" s="3"/>
      <c r="O99" s="10"/>
      <c r="P99" s="8" t="b">
        <v>0</v>
      </c>
      <c r="Q99" s="3"/>
      <c r="R99" s="3"/>
      <c r="S99" s="3"/>
      <c r="T99" s="3"/>
    </row>
    <row r="100" spans="1:20" ht="15.95">
      <c r="A100" s="20"/>
      <c r="B100" s="20"/>
      <c r="C100" s="20" t="s">
        <v>574</v>
      </c>
      <c r="D100" s="13"/>
      <c r="E100" s="13">
        <v>179.68</v>
      </c>
      <c r="F100" s="3"/>
      <c r="G100" s="3"/>
      <c r="H100" s="10"/>
      <c r="I100" s="8" t="b">
        <v>0</v>
      </c>
      <c r="J100" s="10"/>
      <c r="K100" s="8" t="b">
        <v>0</v>
      </c>
      <c r="L100" s="10"/>
      <c r="M100" s="8" t="b">
        <v>0</v>
      </c>
      <c r="N100" s="3"/>
      <c r="O100" s="10"/>
      <c r="P100" s="8" t="b">
        <v>0</v>
      </c>
      <c r="Q100" s="3"/>
      <c r="R100" s="3"/>
      <c r="S100" s="3"/>
      <c r="T100" s="3"/>
    </row>
    <row r="101" spans="1:20" ht="15.95">
      <c r="A101" s="20"/>
      <c r="B101" s="20"/>
      <c r="C101" s="20" t="s">
        <v>866</v>
      </c>
      <c r="D101" s="13"/>
      <c r="E101" s="13"/>
      <c r="F101" s="3"/>
      <c r="G101" s="3"/>
      <c r="H101" s="10"/>
      <c r="I101" s="8" t="b">
        <v>0</v>
      </c>
      <c r="J101" s="10"/>
      <c r="K101" s="8" t="b">
        <v>0</v>
      </c>
      <c r="L101" s="10"/>
      <c r="M101" s="8" t="b">
        <v>0</v>
      </c>
      <c r="N101" s="3"/>
      <c r="O101" s="10"/>
      <c r="P101" s="8" t="b">
        <v>0</v>
      </c>
      <c r="Q101" s="3"/>
      <c r="R101" s="3"/>
      <c r="S101" s="3"/>
      <c r="T101" s="3"/>
    </row>
    <row r="102" spans="1:20" ht="15.95">
      <c r="A102" s="20" t="s">
        <v>354</v>
      </c>
      <c r="B102" s="20"/>
      <c r="C102" s="20" t="s">
        <v>867</v>
      </c>
      <c r="D102" s="13">
        <v>3500</v>
      </c>
      <c r="E102" s="13">
        <v>2669.56</v>
      </c>
      <c r="F102" s="3" t="s">
        <v>138</v>
      </c>
      <c r="G102" s="3"/>
      <c r="H102" s="3"/>
      <c r="I102" s="8" t="b">
        <v>0</v>
      </c>
      <c r="J102" s="10">
        <v>45831</v>
      </c>
      <c r="K102" s="8" t="b">
        <v>1</v>
      </c>
      <c r="L102" s="10">
        <v>45833</v>
      </c>
      <c r="M102" s="8" t="b">
        <v>1</v>
      </c>
      <c r="N102" s="3"/>
      <c r="O102" s="3"/>
      <c r="P102" s="8" t="b">
        <v>0</v>
      </c>
      <c r="Q102" s="3"/>
      <c r="R102" s="3"/>
      <c r="S102" s="3"/>
      <c r="T102" s="3"/>
    </row>
    <row r="103" spans="1:20" ht="15.95">
      <c r="A103" s="20" t="s">
        <v>354</v>
      </c>
      <c r="B103" s="20"/>
      <c r="C103" s="20" t="s">
        <v>868</v>
      </c>
      <c r="D103" s="13"/>
      <c r="E103" s="13"/>
      <c r="F103" s="3"/>
      <c r="G103" s="3"/>
      <c r="H103" s="3"/>
      <c r="I103" s="8" t="b">
        <v>0</v>
      </c>
      <c r="J103" s="10"/>
      <c r="K103" s="8" t="b">
        <v>0</v>
      </c>
      <c r="L103" s="10"/>
      <c r="M103" s="8" t="b">
        <v>0</v>
      </c>
      <c r="N103" s="3"/>
      <c r="O103" s="3"/>
      <c r="P103" s="8" t="b">
        <v>0</v>
      </c>
      <c r="Q103" s="3"/>
      <c r="R103" s="3"/>
      <c r="S103" s="3"/>
      <c r="T103" s="3"/>
    </row>
    <row r="104" spans="1:20" ht="15.95">
      <c r="A104" s="20" t="s">
        <v>354</v>
      </c>
      <c r="B104" s="20"/>
      <c r="C104" s="20" t="s">
        <v>869</v>
      </c>
      <c r="D104" s="13"/>
      <c r="E104" s="13"/>
      <c r="F104" s="3"/>
      <c r="G104" s="3"/>
      <c r="H104" s="3"/>
      <c r="I104" s="8" t="b">
        <v>0</v>
      </c>
      <c r="J104" s="10"/>
      <c r="K104" s="8" t="b">
        <v>0</v>
      </c>
      <c r="L104" s="10"/>
      <c r="M104" s="8" t="b">
        <v>0</v>
      </c>
      <c r="N104" s="3"/>
      <c r="O104" s="3"/>
      <c r="P104" s="8" t="b">
        <v>0</v>
      </c>
      <c r="Q104" s="3"/>
      <c r="R104" s="3"/>
      <c r="S104" s="3"/>
      <c r="T104" s="3"/>
    </row>
    <row r="105" spans="1:20" ht="15.95">
      <c r="A105" s="20" t="s">
        <v>354</v>
      </c>
      <c r="B105" s="20"/>
      <c r="C105" s="20" t="s">
        <v>870</v>
      </c>
      <c r="D105" s="13"/>
      <c r="E105" s="13"/>
      <c r="F105" s="3"/>
      <c r="G105" s="3"/>
      <c r="H105" s="3"/>
      <c r="I105" s="8" t="b">
        <v>0</v>
      </c>
      <c r="J105" s="10"/>
      <c r="K105" s="8" t="b">
        <v>0</v>
      </c>
      <c r="L105" s="10"/>
      <c r="M105" s="8" t="b">
        <v>0</v>
      </c>
      <c r="N105" s="3"/>
      <c r="O105" s="3"/>
      <c r="P105" s="8" t="b">
        <v>0</v>
      </c>
      <c r="Q105" s="3"/>
      <c r="R105" s="3"/>
      <c r="S105" s="3"/>
      <c r="T105" s="3"/>
    </row>
    <row r="106" spans="1:20" ht="15.95">
      <c r="A106" s="20" t="s">
        <v>354</v>
      </c>
      <c r="B106" s="20"/>
      <c r="C106" s="20" t="s">
        <v>871</v>
      </c>
      <c r="D106" s="13"/>
      <c r="E106" s="13"/>
      <c r="F106" s="3"/>
      <c r="G106" s="3"/>
      <c r="H106" s="3"/>
      <c r="I106" s="8" t="b">
        <v>0</v>
      </c>
      <c r="J106" s="10"/>
      <c r="K106" s="8" t="b">
        <v>0</v>
      </c>
      <c r="L106" s="10"/>
      <c r="M106" s="8" t="b">
        <v>0</v>
      </c>
      <c r="N106" s="3"/>
      <c r="O106" s="3"/>
      <c r="P106" s="8" t="b">
        <v>0</v>
      </c>
      <c r="Q106" s="3"/>
      <c r="R106" s="3"/>
      <c r="S106" s="3"/>
      <c r="T106" s="3"/>
    </row>
    <row r="107" spans="1:20" ht="15.95">
      <c r="A107" s="20" t="s">
        <v>354</v>
      </c>
      <c r="B107" s="20"/>
      <c r="C107" s="20" t="s">
        <v>872</v>
      </c>
      <c r="D107" s="13"/>
      <c r="E107" s="13">
        <v>71.040000000000006</v>
      </c>
      <c r="F107" s="3" t="s">
        <v>138</v>
      </c>
      <c r="G107" s="3"/>
      <c r="H107" s="3"/>
      <c r="I107" s="8" t="b">
        <v>0</v>
      </c>
      <c r="J107" s="10"/>
      <c r="K107" s="8" t="b">
        <v>0</v>
      </c>
      <c r="L107" s="10">
        <v>45904</v>
      </c>
      <c r="M107" s="8" t="b">
        <v>0</v>
      </c>
      <c r="N107" s="3"/>
      <c r="O107" s="3"/>
      <c r="P107" s="8" t="b">
        <v>0</v>
      </c>
      <c r="Q107" s="3"/>
      <c r="R107" s="3"/>
      <c r="S107" s="3"/>
      <c r="T107" s="3"/>
    </row>
    <row r="108" spans="1:20" ht="15.95">
      <c r="A108" s="20"/>
      <c r="B108" s="20"/>
      <c r="C108" s="20"/>
      <c r="D108" s="13"/>
      <c r="E108" s="13"/>
      <c r="F108" s="3"/>
      <c r="G108" s="3"/>
      <c r="H108" s="10"/>
      <c r="I108" s="3"/>
      <c r="J108" s="3"/>
      <c r="K108" s="3"/>
      <c r="L108" s="10"/>
      <c r="M108" s="1"/>
      <c r="N108" s="3"/>
      <c r="O108" s="3"/>
      <c r="P108" s="1"/>
      <c r="Q108" s="3"/>
      <c r="R108" s="3"/>
      <c r="S108" s="3"/>
      <c r="T108" s="3"/>
    </row>
    <row r="109" spans="1:20" ht="15.95">
      <c r="A109" s="20"/>
      <c r="B109" s="20"/>
      <c r="C109" s="20"/>
      <c r="D109" s="13"/>
      <c r="E109" s="13"/>
      <c r="F109" s="3"/>
      <c r="G109" s="3"/>
      <c r="H109" s="10"/>
      <c r="I109" s="3"/>
      <c r="J109" s="3"/>
      <c r="K109" s="3"/>
      <c r="L109" s="10"/>
      <c r="M109" s="1"/>
      <c r="N109" s="3"/>
      <c r="O109" s="3"/>
      <c r="P109" s="1"/>
      <c r="Q109" s="3"/>
      <c r="R109" s="3"/>
      <c r="S109" s="3"/>
      <c r="T109" s="3"/>
    </row>
    <row r="110" spans="1:20" ht="15.95">
      <c r="A110" s="20" t="s">
        <v>407</v>
      </c>
      <c r="B110" s="20"/>
      <c r="C110" s="20" t="s">
        <v>873</v>
      </c>
      <c r="D110" s="13">
        <v>3700</v>
      </c>
      <c r="E110" s="13">
        <v>3084.82</v>
      </c>
      <c r="F110" s="3"/>
      <c r="G110" s="3"/>
      <c r="H110" s="3"/>
      <c r="I110" s="8" t="b">
        <v>0</v>
      </c>
      <c r="J110" s="10"/>
      <c r="K110" s="8" t="b">
        <v>0</v>
      </c>
      <c r="L110" s="10"/>
      <c r="M110" s="8" t="b">
        <v>0</v>
      </c>
      <c r="N110" s="3"/>
      <c r="O110" s="3"/>
      <c r="P110" s="8" t="b">
        <v>0</v>
      </c>
      <c r="Q110" s="3"/>
      <c r="R110" s="3"/>
      <c r="S110" s="3"/>
      <c r="T110" s="3"/>
    </row>
    <row r="111" spans="1:20" ht="15.95">
      <c r="A111" s="20"/>
      <c r="B111" s="20"/>
      <c r="C111" s="21"/>
      <c r="D111" s="13"/>
      <c r="E111" s="13"/>
      <c r="F111" s="3"/>
      <c r="G111" s="3"/>
      <c r="H111" s="3"/>
      <c r="I111" s="1"/>
      <c r="J111" s="10"/>
      <c r="K111" s="1"/>
      <c r="L111" s="3"/>
      <c r="M111" s="1"/>
      <c r="N111" s="3"/>
      <c r="O111" s="3"/>
      <c r="P111" s="1"/>
      <c r="Q111" s="3"/>
      <c r="R111" s="3"/>
      <c r="S111" s="3"/>
      <c r="T111" s="3"/>
    </row>
    <row r="112" spans="1:20" ht="15.95">
      <c r="A112" s="20"/>
      <c r="B112" s="20"/>
      <c r="C112" s="20"/>
      <c r="D112" s="13"/>
      <c r="E112" s="13"/>
      <c r="F112" s="3"/>
      <c r="G112" s="3"/>
      <c r="H112" s="3"/>
      <c r="I112" s="1"/>
      <c r="J112" s="10"/>
      <c r="K112" s="1"/>
      <c r="L112" s="3"/>
      <c r="M112" s="1"/>
      <c r="N112" s="3"/>
      <c r="O112" s="3"/>
      <c r="P112" s="1"/>
      <c r="Q112" s="3"/>
      <c r="R112" s="3"/>
      <c r="S112" s="3"/>
      <c r="T112" s="3"/>
    </row>
    <row r="113" spans="1:20" ht="15.95">
      <c r="A113" s="20" t="s">
        <v>874</v>
      </c>
      <c r="B113" s="20" t="s">
        <v>875</v>
      </c>
      <c r="C113" s="20"/>
      <c r="D113" s="13">
        <v>1250</v>
      </c>
      <c r="E113" s="13">
        <v>3500</v>
      </c>
      <c r="F113" s="3" t="s">
        <v>876</v>
      </c>
      <c r="G113" s="3"/>
      <c r="H113" s="3"/>
      <c r="I113" s="8" t="b">
        <v>0</v>
      </c>
      <c r="J113" s="10"/>
      <c r="K113" s="8" t="b">
        <v>0</v>
      </c>
      <c r="L113" s="10"/>
      <c r="M113" s="8" t="b">
        <v>0</v>
      </c>
      <c r="N113" s="3"/>
      <c r="O113" s="3"/>
      <c r="P113" s="8" t="b">
        <v>0</v>
      </c>
      <c r="Q113" s="3"/>
      <c r="R113" s="3"/>
      <c r="S113" s="3"/>
      <c r="T113" s="3"/>
    </row>
    <row r="114" spans="1:20" ht="15.95">
      <c r="A114" s="20"/>
      <c r="B114" s="20"/>
      <c r="C114" s="20"/>
      <c r="D114" s="13"/>
      <c r="E114" s="13"/>
      <c r="F114" s="3"/>
      <c r="G114" s="3"/>
      <c r="H114" s="3"/>
      <c r="I114" s="8" t="b">
        <v>0</v>
      </c>
      <c r="J114" s="10"/>
      <c r="K114" s="8" t="b">
        <v>0</v>
      </c>
      <c r="L114" s="10"/>
      <c r="M114" s="8" t="b">
        <v>0</v>
      </c>
      <c r="N114" s="3"/>
      <c r="O114" s="3"/>
      <c r="P114" s="8" t="b">
        <v>0</v>
      </c>
      <c r="Q114" s="3"/>
      <c r="R114" s="3"/>
      <c r="S114" s="3"/>
      <c r="T114" s="3"/>
    </row>
    <row r="115" spans="1:20" ht="15.95">
      <c r="A115" s="20"/>
      <c r="B115" s="20"/>
      <c r="C115" s="20"/>
      <c r="D115" s="13"/>
      <c r="E115" s="13"/>
      <c r="F115" s="3"/>
      <c r="G115" s="3"/>
      <c r="H115" s="3"/>
      <c r="I115" s="1"/>
      <c r="J115" s="10"/>
      <c r="K115" s="1"/>
      <c r="L115" s="3"/>
      <c r="M115" s="1"/>
      <c r="N115" s="3"/>
      <c r="O115" s="3"/>
      <c r="P115" s="1"/>
      <c r="Q115" s="3"/>
      <c r="R115" s="3"/>
      <c r="S115" s="3"/>
      <c r="T115" s="3"/>
    </row>
    <row r="116" spans="1:20" ht="15.95">
      <c r="A116" s="20"/>
      <c r="B116" s="20"/>
      <c r="C116" s="20"/>
      <c r="D116" s="13"/>
      <c r="E116" s="13"/>
      <c r="F116" s="3"/>
      <c r="G116" s="3"/>
      <c r="H116" s="3"/>
      <c r="I116" s="8" t="b">
        <v>0</v>
      </c>
      <c r="J116" s="10"/>
      <c r="K116" s="8" t="b">
        <v>0</v>
      </c>
      <c r="L116" s="10"/>
      <c r="M116" s="8" t="b">
        <v>0</v>
      </c>
      <c r="N116" s="3"/>
      <c r="O116" s="3"/>
      <c r="P116" s="8" t="b">
        <v>0</v>
      </c>
      <c r="Q116" s="3"/>
      <c r="R116" s="3"/>
      <c r="S116" s="3"/>
      <c r="T116" s="3"/>
    </row>
    <row r="117" spans="1:20" ht="15.95">
      <c r="A117" s="20" t="s">
        <v>657</v>
      </c>
      <c r="B117" s="20"/>
      <c r="C117" s="20"/>
      <c r="D117" s="13"/>
      <c r="E117" s="13"/>
      <c r="F117" s="3"/>
      <c r="G117" s="3"/>
      <c r="H117" s="3"/>
      <c r="I117" s="8" t="b">
        <v>0</v>
      </c>
      <c r="J117" s="10"/>
      <c r="K117" s="8" t="b">
        <v>0</v>
      </c>
      <c r="L117" s="10"/>
      <c r="M117" s="8" t="b">
        <v>0</v>
      </c>
      <c r="N117" s="3"/>
      <c r="O117" s="3"/>
      <c r="P117" s="8" t="b">
        <v>0</v>
      </c>
      <c r="Q117" s="3"/>
      <c r="R117" s="3"/>
      <c r="S117" s="3"/>
      <c r="T117" s="3"/>
    </row>
    <row r="118" spans="1:20" ht="15.95">
      <c r="A118" s="20"/>
      <c r="B118" s="20"/>
      <c r="C118" s="20"/>
      <c r="D118" s="13"/>
      <c r="E118" s="13"/>
      <c r="F118" s="3"/>
      <c r="G118" s="3"/>
      <c r="H118" s="3"/>
      <c r="I118" s="8" t="b">
        <v>0</v>
      </c>
      <c r="J118" s="10"/>
      <c r="K118" s="8" t="b">
        <v>0</v>
      </c>
      <c r="L118" s="3"/>
      <c r="M118" s="8" t="b">
        <v>0</v>
      </c>
      <c r="N118" s="3"/>
      <c r="O118" s="3"/>
      <c r="P118" s="8" t="b">
        <v>0</v>
      </c>
      <c r="Q118" s="3"/>
      <c r="R118" s="3"/>
      <c r="S118" s="3"/>
      <c r="T118" s="3"/>
    </row>
    <row r="119" spans="1:20" ht="15.95">
      <c r="A119" s="20" t="s">
        <v>877</v>
      </c>
      <c r="B119" s="20"/>
      <c r="C119" s="20"/>
      <c r="D119" s="13">
        <v>3200</v>
      </c>
      <c r="E119" s="13"/>
      <c r="F119" s="3"/>
      <c r="G119" s="3"/>
      <c r="H119" s="3"/>
      <c r="I119" s="8" t="b">
        <v>0</v>
      </c>
      <c r="J119" s="10"/>
      <c r="K119" s="8" t="b">
        <v>0</v>
      </c>
      <c r="L119" s="3"/>
      <c r="M119" s="8" t="b">
        <v>0</v>
      </c>
      <c r="N119" s="3"/>
      <c r="O119" s="3"/>
      <c r="P119" s="8" t="b">
        <v>0</v>
      </c>
      <c r="Q119" s="3"/>
      <c r="R119" s="3"/>
      <c r="S119" s="3"/>
      <c r="T119" s="3"/>
    </row>
    <row r="120" spans="1:20" ht="15.95">
      <c r="A120" s="20" t="s">
        <v>878</v>
      </c>
      <c r="B120" s="20"/>
      <c r="C120" s="20"/>
      <c r="D120" s="13">
        <v>4300</v>
      </c>
      <c r="E120" s="13"/>
      <c r="F120" s="3" t="s">
        <v>138</v>
      </c>
      <c r="G120" s="3"/>
      <c r="H120" s="3"/>
      <c r="I120" s="1"/>
      <c r="J120" s="10"/>
      <c r="K120" s="1"/>
      <c r="L120" s="10">
        <v>45833</v>
      </c>
      <c r="M120" s="1" t="s">
        <v>586</v>
      </c>
      <c r="N120" s="3"/>
      <c r="O120" s="3"/>
      <c r="P120" s="1"/>
      <c r="Q120" s="3"/>
      <c r="R120" s="3"/>
      <c r="S120" s="3"/>
      <c r="T120" s="3"/>
    </row>
    <row r="121" spans="1:20" s="40" customFormat="1" ht="15.95">
      <c r="A121" s="5"/>
      <c r="B121" s="4"/>
      <c r="C121" s="5"/>
      <c r="D121" s="11"/>
      <c r="E121" s="11"/>
      <c r="F121" s="5"/>
      <c r="G121" s="5"/>
      <c r="H121" s="5"/>
      <c r="I121" s="1"/>
      <c r="J121" s="3"/>
      <c r="K121" s="1"/>
      <c r="L121" s="5"/>
      <c r="M121" s="1"/>
      <c r="N121" s="5"/>
      <c r="O121" s="5"/>
      <c r="P121" s="1"/>
      <c r="Q121" s="5"/>
      <c r="R121" s="5"/>
      <c r="S121" s="5"/>
      <c r="T121" s="5"/>
    </row>
    <row r="122" spans="1:20" s="40" customFormat="1" ht="15.95">
      <c r="A122" s="5"/>
      <c r="B122" s="4"/>
      <c r="C122" s="5"/>
      <c r="D122" s="11"/>
      <c r="E122" s="11"/>
      <c r="F122" s="5"/>
      <c r="G122" s="5"/>
      <c r="H122" s="5"/>
      <c r="I122" s="1"/>
      <c r="J122" s="3"/>
      <c r="K122" s="1"/>
      <c r="L122" s="5"/>
      <c r="M122" s="1"/>
      <c r="N122" s="5"/>
      <c r="O122" s="5"/>
      <c r="P122" s="1"/>
      <c r="Q122" s="5"/>
      <c r="R122" s="5"/>
      <c r="S122" s="5"/>
      <c r="T122" s="5"/>
    </row>
    <row r="123" spans="1:20" s="40" customFormat="1" ht="15.95">
      <c r="A123" s="5" t="s">
        <v>879</v>
      </c>
      <c r="B123" s="4"/>
      <c r="C123" s="3" t="s">
        <v>880</v>
      </c>
      <c r="D123" s="11"/>
      <c r="E123" s="11"/>
      <c r="F123" s="5"/>
      <c r="G123" s="5"/>
      <c r="H123" s="5"/>
      <c r="I123" s="1"/>
      <c r="J123" s="3"/>
      <c r="K123" s="1"/>
      <c r="L123" s="5"/>
      <c r="M123" s="1"/>
      <c r="N123" s="5"/>
      <c r="O123" s="5"/>
      <c r="P123" s="1"/>
      <c r="Q123" s="5"/>
      <c r="R123" s="5"/>
      <c r="S123" s="5"/>
      <c r="T123" s="5"/>
    </row>
    <row r="124" spans="1:20" s="40" customFormat="1" ht="15.95">
      <c r="A124" s="5"/>
      <c r="B124" s="4"/>
      <c r="C124" s="3" t="s">
        <v>881</v>
      </c>
      <c r="D124" s="45"/>
      <c r="E124" s="11"/>
      <c r="F124" s="5"/>
      <c r="G124" s="5"/>
      <c r="H124" s="5"/>
      <c r="I124" s="1"/>
      <c r="J124" s="3"/>
      <c r="K124" s="1"/>
      <c r="L124" s="5"/>
      <c r="M124" s="1"/>
      <c r="N124" s="5"/>
      <c r="O124" s="5"/>
      <c r="P124" s="1"/>
      <c r="Q124" s="5"/>
      <c r="R124" s="5"/>
      <c r="S124" s="5"/>
      <c r="T124" s="5"/>
    </row>
    <row r="125" spans="1:20" s="40" customFormat="1" ht="15.95">
      <c r="A125" s="5"/>
      <c r="B125" s="1"/>
      <c r="C125" s="3" t="s">
        <v>882</v>
      </c>
      <c r="D125" s="11"/>
      <c r="E125" s="11"/>
      <c r="F125" s="5"/>
      <c r="G125" s="5"/>
      <c r="H125" s="5"/>
      <c r="I125" s="1"/>
      <c r="J125" s="3"/>
      <c r="K125" s="5"/>
      <c r="L125" s="5"/>
      <c r="M125" s="1"/>
      <c r="N125" s="5"/>
      <c r="O125" s="5"/>
      <c r="P125" s="1"/>
      <c r="Q125" s="5"/>
      <c r="R125" s="5"/>
      <c r="S125" s="5"/>
      <c r="T125" s="5"/>
    </row>
    <row r="126" spans="1:20" s="40" customFormat="1" ht="15.95">
      <c r="A126" s="5"/>
      <c r="B126" s="1"/>
      <c r="C126" s="3" t="s">
        <v>883</v>
      </c>
      <c r="D126" s="11"/>
      <c r="E126" s="11"/>
      <c r="F126" s="5"/>
      <c r="G126" s="5"/>
      <c r="H126" s="5"/>
      <c r="I126" s="1"/>
      <c r="J126" s="3"/>
      <c r="K126" s="5"/>
      <c r="L126" s="5"/>
      <c r="M126" s="1"/>
      <c r="N126" s="5"/>
      <c r="O126" s="5"/>
      <c r="P126" s="1"/>
      <c r="Q126" s="5"/>
      <c r="R126" s="5"/>
      <c r="S126" s="5"/>
      <c r="T126" s="5"/>
    </row>
    <row r="127" spans="1:20" s="40" customFormat="1" ht="15.95">
      <c r="A127" s="5"/>
      <c r="B127" s="1"/>
      <c r="C127" s="3" t="s">
        <v>884</v>
      </c>
      <c r="D127" s="11"/>
      <c r="E127" s="11"/>
      <c r="F127" s="5"/>
      <c r="G127" s="5"/>
      <c r="H127" s="5"/>
      <c r="I127" s="1"/>
      <c r="J127" s="3"/>
      <c r="K127" s="5"/>
      <c r="L127" s="5"/>
      <c r="M127" s="1"/>
      <c r="N127" s="5"/>
      <c r="O127" s="5"/>
      <c r="P127" s="1"/>
      <c r="Q127" s="5"/>
      <c r="R127" s="5"/>
      <c r="S127" s="5"/>
      <c r="T127" s="5"/>
    </row>
    <row r="128" spans="1:20" s="40" customFormat="1" ht="15.95">
      <c r="A128" s="5"/>
      <c r="B128" s="1"/>
      <c r="C128" s="3" t="s">
        <v>885</v>
      </c>
      <c r="D128" s="11"/>
      <c r="E128" s="11"/>
      <c r="F128" s="5"/>
      <c r="G128" s="5"/>
      <c r="H128" s="5"/>
      <c r="I128" s="1"/>
      <c r="J128" s="3"/>
      <c r="K128" s="5"/>
      <c r="L128" s="5"/>
      <c r="M128" s="1"/>
      <c r="N128" s="5"/>
      <c r="O128" s="5"/>
      <c r="P128" s="1"/>
      <c r="Q128" s="5"/>
      <c r="R128" s="5"/>
      <c r="S128" s="5"/>
      <c r="T128" s="5"/>
    </row>
    <row r="129" spans="1:20" s="40" customFormat="1" ht="15.95">
      <c r="A129" s="5"/>
      <c r="B129" s="1"/>
      <c r="C129" s="3" t="s">
        <v>886</v>
      </c>
      <c r="D129" s="11"/>
      <c r="E129" s="11">
        <v>259.94</v>
      </c>
      <c r="F129" s="5"/>
      <c r="G129" s="5"/>
      <c r="H129" s="5"/>
      <c r="I129" s="1"/>
      <c r="J129" s="3"/>
      <c r="K129" s="5"/>
      <c r="L129" s="5"/>
      <c r="M129" s="1"/>
      <c r="N129" s="5"/>
      <c r="O129" s="5"/>
      <c r="P129" s="1"/>
      <c r="Q129" s="5"/>
      <c r="R129" s="5"/>
      <c r="S129" s="5"/>
      <c r="T129" s="5"/>
    </row>
    <row r="130" spans="1:20" s="40" customFormat="1" ht="15.95">
      <c r="A130" s="5"/>
      <c r="B130" s="1"/>
      <c r="C130" s="3" t="s">
        <v>887</v>
      </c>
      <c r="D130" s="11"/>
      <c r="E130" s="11"/>
      <c r="F130" s="5"/>
      <c r="G130" s="5"/>
      <c r="H130" s="5"/>
      <c r="I130" s="1"/>
      <c r="J130" s="3"/>
      <c r="K130" s="5"/>
      <c r="L130" s="5"/>
      <c r="M130" s="1"/>
      <c r="N130" s="5"/>
      <c r="O130" s="5"/>
      <c r="P130" s="1"/>
      <c r="Q130" s="5"/>
      <c r="R130" s="5"/>
      <c r="S130" s="5"/>
      <c r="T130" s="5"/>
    </row>
    <row r="131" spans="1:20" s="40" customFormat="1" ht="15.95">
      <c r="A131" s="5"/>
      <c r="B131" s="1"/>
      <c r="C131" s="3" t="s">
        <v>888</v>
      </c>
      <c r="D131" s="11"/>
      <c r="E131" s="11"/>
      <c r="F131" s="5"/>
      <c r="G131" s="5"/>
      <c r="H131" s="5"/>
      <c r="I131" s="1"/>
      <c r="J131" s="3"/>
      <c r="K131" s="5"/>
      <c r="L131" s="5"/>
      <c r="M131" s="1"/>
      <c r="N131" s="5"/>
      <c r="O131" s="5"/>
      <c r="P131" s="1"/>
      <c r="Q131" s="5"/>
      <c r="R131" s="5"/>
      <c r="S131" s="5"/>
      <c r="T131" s="5"/>
    </row>
    <row r="132" spans="1:20" s="40" customFormat="1" ht="15.95">
      <c r="A132" s="5"/>
      <c r="B132" s="1"/>
      <c r="C132" s="3" t="s">
        <v>889</v>
      </c>
      <c r="D132" s="11"/>
      <c r="E132" s="11">
        <v>81.38</v>
      </c>
      <c r="F132" s="3" t="s">
        <v>890</v>
      </c>
      <c r="G132" s="5"/>
      <c r="H132" s="5"/>
      <c r="I132" s="1"/>
      <c r="J132" s="3"/>
      <c r="K132" s="5"/>
      <c r="L132" s="24">
        <v>45867</v>
      </c>
      <c r="M132" s="1"/>
      <c r="N132" s="5"/>
      <c r="O132" s="5"/>
      <c r="P132" s="1"/>
      <c r="Q132" s="5"/>
      <c r="R132" s="5"/>
      <c r="S132" s="5"/>
      <c r="T132" s="5"/>
    </row>
    <row r="133" spans="1:20" s="40" customFormat="1" ht="15.95">
      <c r="A133" s="5"/>
      <c r="B133" s="1"/>
      <c r="C133" s="3" t="s">
        <v>891</v>
      </c>
      <c r="D133" s="11"/>
      <c r="E133" s="11"/>
      <c r="F133" s="5"/>
      <c r="G133" s="5"/>
      <c r="H133" s="5"/>
      <c r="I133" s="1"/>
      <c r="J133" s="3"/>
      <c r="K133" s="5"/>
      <c r="L133" s="5"/>
      <c r="M133" s="1"/>
      <c r="N133" s="5"/>
      <c r="O133" s="5"/>
      <c r="P133" s="1"/>
      <c r="Q133" s="5"/>
      <c r="R133" s="5"/>
      <c r="S133" s="5"/>
      <c r="T133" s="5"/>
    </row>
    <row r="134" spans="1:20" s="40" customFormat="1" ht="15.95">
      <c r="A134" s="5"/>
      <c r="B134" s="1"/>
      <c r="C134" s="3" t="s">
        <v>892</v>
      </c>
      <c r="D134" s="11"/>
      <c r="E134" s="11"/>
      <c r="F134" s="5"/>
      <c r="G134" s="5"/>
      <c r="H134" s="5"/>
      <c r="I134" s="1"/>
      <c r="J134" s="3"/>
      <c r="K134" s="5"/>
      <c r="L134" s="5"/>
      <c r="M134" s="1"/>
      <c r="N134" s="5"/>
      <c r="O134" s="5"/>
      <c r="P134" s="1"/>
      <c r="Q134" s="5"/>
      <c r="R134" s="5"/>
      <c r="S134" s="5"/>
      <c r="T134" s="5"/>
    </row>
    <row r="135" spans="1:20" s="40" customFormat="1" ht="15.95">
      <c r="A135" s="5"/>
      <c r="B135" s="1"/>
      <c r="C135" s="3" t="s">
        <v>893</v>
      </c>
      <c r="D135" s="11"/>
      <c r="E135" s="11"/>
      <c r="F135" s="5"/>
      <c r="G135" s="5"/>
      <c r="H135" s="5"/>
      <c r="I135" s="1"/>
      <c r="J135" s="3"/>
      <c r="K135" s="5"/>
      <c r="L135" s="5"/>
      <c r="M135" s="1"/>
      <c r="N135" s="5"/>
      <c r="O135" s="5"/>
      <c r="P135" s="1"/>
      <c r="Q135" s="5"/>
      <c r="R135" s="5"/>
      <c r="S135" s="5"/>
      <c r="T135" s="5"/>
    </row>
    <row r="136" spans="1:20" s="40" customFormat="1" ht="15.95">
      <c r="A136" s="5"/>
      <c r="B136" s="1"/>
      <c r="C136" s="3" t="s">
        <v>894</v>
      </c>
      <c r="D136" s="11"/>
      <c r="E136" s="11"/>
      <c r="F136" s="5"/>
      <c r="G136" s="5"/>
      <c r="H136" s="5"/>
      <c r="I136" s="1"/>
      <c r="J136" s="3"/>
      <c r="K136" s="5"/>
      <c r="L136" s="5"/>
      <c r="M136" s="1"/>
      <c r="N136" s="5"/>
      <c r="O136" s="5"/>
      <c r="P136" s="1"/>
      <c r="Q136" s="5"/>
      <c r="R136" s="5"/>
      <c r="S136" s="5"/>
      <c r="T136" s="5"/>
    </row>
    <row r="137" spans="1:20" s="40" customFormat="1" ht="15.95">
      <c r="A137" s="5"/>
      <c r="B137" s="1"/>
      <c r="C137" s="3"/>
      <c r="D137" s="11"/>
      <c r="E137" s="11"/>
      <c r="F137" s="5"/>
      <c r="G137" s="5"/>
      <c r="H137" s="5"/>
      <c r="I137" s="1"/>
      <c r="J137" s="3"/>
      <c r="K137" s="5"/>
      <c r="L137" s="5"/>
      <c r="M137" s="1"/>
      <c r="N137" s="5"/>
      <c r="O137" s="5"/>
      <c r="P137" s="1"/>
      <c r="Q137" s="5"/>
      <c r="R137" s="5"/>
      <c r="S137" s="5"/>
      <c r="T137" s="5"/>
    </row>
    <row r="138" spans="1:20" s="40" customFormat="1" ht="15.95">
      <c r="A138" s="5"/>
      <c r="B138" s="1"/>
      <c r="C138" s="3"/>
      <c r="D138" s="11"/>
      <c r="E138" s="11"/>
      <c r="F138" s="5"/>
      <c r="G138" s="5"/>
      <c r="H138" s="5"/>
      <c r="I138" s="1"/>
      <c r="J138" s="3"/>
      <c r="K138" s="5"/>
      <c r="L138" s="5"/>
      <c r="M138" s="1"/>
      <c r="N138" s="5"/>
      <c r="O138" s="5"/>
      <c r="P138" s="1"/>
      <c r="Q138" s="5"/>
      <c r="R138" s="5"/>
      <c r="S138" s="5"/>
      <c r="T138" s="5"/>
    </row>
    <row r="139" spans="1:20" s="40" customFormat="1" ht="15.95">
      <c r="A139" s="5"/>
      <c r="B139" s="1"/>
      <c r="C139" s="3"/>
      <c r="D139" s="11">
        <f>SUM(D4:D136)</f>
        <v>69450</v>
      </c>
      <c r="E139" s="11">
        <f>SUM(E4:E136)</f>
        <v>67112.300000000017</v>
      </c>
      <c r="F139" s="5"/>
      <c r="G139" s="5"/>
      <c r="H139" s="5"/>
      <c r="I139" s="1"/>
      <c r="J139" s="3"/>
      <c r="K139" s="5"/>
      <c r="L139" s="5"/>
      <c r="M139" s="1"/>
      <c r="N139" s="5"/>
      <c r="O139" s="5"/>
      <c r="P139" s="1"/>
      <c r="Q139" s="5"/>
      <c r="R139" s="5"/>
      <c r="S139" s="5"/>
      <c r="T139" s="5"/>
    </row>
    <row r="140" spans="1:20" s="40" customFormat="1" ht="15.95">
      <c r="A140" s="5"/>
      <c r="B140" s="1"/>
      <c r="C140" s="3"/>
      <c r="D140" s="11"/>
      <c r="E140" s="11"/>
      <c r="F140" s="5"/>
      <c r="G140" s="5"/>
      <c r="H140" s="5"/>
      <c r="I140" s="1"/>
      <c r="J140" s="3"/>
      <c r="K140" s="5"/>
      <c r="L140" s="5"/>
      <c r="M140" s="1"/>
      <c r="N140" s="5"/>
      <c r="O140" s="5"/>
      <c r="P140" s="1"/>
      <c r="Q140" s="5"/>
      <c r="R140" s="5"/>
      <c r="S140" s="5"/>
      <c r="T140" s="5"/>
    </row>
    <row r="141" spans="1:20" s="40" customFormat="1" ht="15.95">
      <c r="A141" s="5"/>
      <c r="B141" s="1"/>
      <c r="C141" s="3"/>
      <c r="D141" s="11"/>
      <c r="E141" s="11"/>
      <c r="F141" s="5"/>
      <c r="G141" s="5"/>
      <c r="H141" s="5"/>
      <c r="I141" s="1"/>
      <c r="J141" s="3"/>
      <c r="K141" s="5"/>
      <c r="L141" s="5"/>
      <c r="M141" s="1"/>
      <c r="N141" s="5"/>
      <c r="O141" s="5"/>
      <c r="P141" s="1"/>
      <c r="Q141" s="5"/>
      <c r="R141" s="5"/>
      <c r="S141" s="5"/>
      <c r="T141" s="5"/>
    </row>
    <row r="142" spans="1:20" ht="15.95">
      <c r="A142" s="3"/>
      <c r="B142" s="1"/>
      <c r="C142" s="3"/>
      <c r="D142" s="13"/>
      <c r="E142" s="13"/>
      <c r="F142" s="3"/>
      <c r="G142" s="3"/>
      <c r="H142" s="3"/>
      <c r="I142" s="1"/>
      <c r="J142" s="3"/>
      <c r="K142" s="3"/>
      <c r="L142" s="3"/>
      <c r="M142" s="1"/>
      <c r="N142" s="3"/>
      <c r="O142" s="3"/>
      <c r="P142" s="1"/>
      <c r="Q142" s="3"/>
      <c r="R142" s="3"/>
      <c r="S142" s="3"/>
      <c r="T142" s="3"/>
    </row>
    <row r="143" spans="1:20" ht="15.95">
      <c r="A143" s="3"/>
      <c r="B143" s="1"/>
      <c r="C143" s="3"/>
      <c r="D143" s="13" t="s">
        <v>895</v>
      </c>
      <c r="E143" s="13"/>
      <c r="F143" s="3"/>
      <c r="G143" s="3"/>
      <c r="H143" s="3"/>
      <c r="I143" s="1"/>
      <c r="J143" s="3"/>
      <c r="K143" s="3"/>
      <c r="L143" s="3"/>
      <c r="M143" s="1"/>
      <c r="N143" s="3"/>
      <c r="O143" s="3"/>
      <c r="P143" s="1"/>
      <c r="Q143" s="3"/>
      <c r="R143" s="3"/>
      <c r="S143" s="3"/>
      <c r="T143" s="3"/>
    </row>
    <row r="144" spans="1:20" ht="15.95">
      <c r="A144" s="3"/>
      <c r="B144" s="1"/>
      <c r="C144" s="3"/>
      <c r="D144" s="13"/>
      <c r="E144" s="13"/>
      <c r="F144" s="3"/>
      <c r="G144" s="3"/>
      <c r="H144" s="3"/>
      <c r="I144" s="1"/>
      <c r="J144" s="3"/>
      <c r="K144" s="3"/>
      <c r="L144" s="3"/>
      <c r="M144" s="1"/>
      <c r="N144" s="3"/>
      <c r="O144" s="3"/>
      <c r="P144" s="3"/>
      <c r="Q144" s="1"/>
      <c r="R144" s="3"/>
      <c r="S144" s="3"/>
      <c r="T144" s="3"/>
    </row>
    <row r="145" spans="1:20" ht="15.95">
      <c r="A145" s="3"/>
      <c r="B145" s="1"/>
      <c r="C145" s="3"/>
      <c r="D145" s="13"/>
      <c r="E145" s="13"/>
      <c r="F145" s="3"/>
      <c r="G145" s="3"/>
      <c r="H145" s="3"/>
      <c r="I145" s="1"/>
      <c r="J145" s="3"/>
      <c r="K145" s="3"/>
      <c r="L145" s="3"/>
      <c r="M145" s="1"/>
      <c r="N145" s="3"/>
      <c r="O145" s="3"/>
      <c r="P145" s="3"/>
      <c r="Q145" s="1"/>
      <c r="R145" s="3"/>
      <c r="S145" s="3"/>
      <c r="T145" s="3"/>
    </row>
    <row r="146" spans="1:20" ht="15.95">
      <c r="A146" s="3"/>
      <c r="B146" s="1"/>
      <c r="C146" s="3"/>
      <c r="D146" s="13"/>
      <c r="E146" s="13"/>
      <c r="F146" s="3"/>
      <c r="G146" s="3"/>
      <c r="H146" s="3"/>
      <c r="I146" s="1"/>
      <c r="J146" s="3"/>
      <c r="K146" s="3"/>
      <c r="L146" s="3"/>
      <c r="M146" s="1"/>
      <c r="N146" s="3"/>
      <c r="O146" s="3"/>
      <c r="P146" s="3"/>
      <c r="Q146" s="1"/>
      <c r="R146" s="3"/>
      <c r="S146" s="3"/>
      <c r="T146" s="3"/>
    </row>
    <row r="147" spans="1:20" ht="15.95">
      <c r="A147" s="3"/>
      <c r="B147" s="18"/>
      <c r="C147" s="3"/>
      <c r="D147" s="13"/>
      <c r="E147" s="13"/>
      <c r="F147" s="3"/>
      <c r="G147" s="3"/>
      <c r="H147" s="3"/>
      <c r="I147" s="1"/>
      <c r="J147" s="3"/>
      <c r="K147" s="3"/>
      <c r="L147" s="3"/>
      <c r="M147" s="1"/>
      <c r="N147" s="3"/>
      <c r="O147" s="3"/>
      <c r="P147" s="3"/>
      <c r="Q147" s="1"/>
      <c r="R147" s="3"/>
      <c r="S147" s="3"/>
      <c r="T147" s="3"/>
    </row>
    <row r="148" spans="1:20" ht="15.95">
      <c r="A148" s="3"/>
      <c r="B148" s="1"/>
      <c r="C148" s="3"/>
      <c r="D148" s="13"/>
      <c r="E148" s="13"/>
      <c r="F148" s="3"/>
      <c r="G148" s="3"/>
      <c r="H148" s="3"/>
      <c r="I148" s="1"/>
      <c r="J148" s="5"/>
      <c r="K148" s="3"/>
      <c r="L148" s="3"/>
      <c r="M148" s="1"/>
      <c r="N148" s="3"/>
      <c r="O148" s="3"/>
      <c r="P148" s="3"/>
      <c r="Q148" s="1"/>
      <c r="R148" s="3"/>
      <c r="S148" s="3"/>
      <c r="T148" s="3"/>
    </row>
    <row r="149" spans="1:20" ht="15.95">
      <c r="A149" s="3"/>
      <c r="B149" s="1"/>
      <c r="C149" s="3"/>
      <c r="D149" s="13"/>
      <c r="E149" s="13"/>
      <c r="F149" s="3"/>
      <c r="G149" s="3"/>
      <c r="H149" s="3"/>
      <c r="I149" s="1"/>
      <c r="J149" s="5"/>
      <c r="K149" s="3"/>
      <c r="L149" s="3"/>
      <c r="M149" s="1"/>
      <c r="N149" s="3"/>
      <c r="O149" s="3"/>
      <c r="P149" s="3"/>
      <c r="Q149" s="1"/>
      <c r="R149" s="3"/>
      <c r="S149" s="3"/>
      <c r="T149" s="3"/>
    </row>
    <row r="150" spans="1:20" ht="15.95">
      <c r="A150" s="3"/>
      <c r="B150" s="1"/>
      <c r="C150" s="3"/>
      <c r="D150" s="13"/>
      <c r="E150" s="13"/>
      <c r="F150" s="3"/>
      <c r="G150" s="3"/>
      <c r="H150" s="3"/>
      <c r="I150" s="1"/>
      <c r="J150" s="5"/>
      <c r="K150" s="3"/>
      <c r="L150" s="3"/>
      <c r="M150" s="1"/>
      <c r="N150" s="3"/>
      <c r="O150" s="3"/>
      <c r="P150" s="3"/>
      <c r="Q150" s="1"/>
      <c r="R150" s="3"/>
      <c r="S150" s="3"/>
      <c r="T150" s="3"/>
    </row>
    <row r="151" spans="1:20" ht="15.95">
      <c r="A151" s="3"/>
      <c r="B151" s="1"/>
      <c r="C151" s="3"/>
      <c r="D151" s="13"/>
      <c r="E151" s="13"/>
      <c r="F151" s="3"/>
      <c r="G151" s="3"/>
      <c r="H151" s="3"/>
      <c r="I151" s="1"/>
      <c r="J151" s="5"/>
      <c r="K151" s="3"/>
      <c r="L151" s="3"/>
      <c r="M151" s="1"/>
      <c r="N151" s="3"/>
      <c r="O151" s="3"/>
      <c r="P151" s="3"/>
      <c r="Q151" s="1"/>
      <c r="R151" s="3"/>
      <c r="S151" s="3"/>
      <c r="T151" s="3"/>
    </row>
    <row r="152" spans="1:20" ht="15.95">
      <c r="A152" s="3"/>
      <c r="B152" s="1"/>
      <c r="C152" s="3"/>
      <c r="D152" s="13"/>
      <c r="E152" s="13"/>
      <c r="F152" s="3"/>
      <c r="G152" s="3"/>
      <c r="H152" s="3"/>
      <c r="I152" s="1"/>
      <c r="J152" s="3"/>
      <c r="K152" s="3"/>
      <c r="L152" s="3"/>
      <c r="M152" s="1"/>
      <c r="N152" s="3"/>
      <c r="O152" s="3"/>
      <c r="P152" s="3"/>
      <c r="Q152" s="1"/>
      <c r="R152" s="3"/>
      <c r="S152" s="3"/>
      <c r="T152" s="3"/>
    </row>
    <row r="153" spans="1:20" ht="15.95">
      <c r="A153" s="3"/>
      <c r="B153" s="1"/>
      <c r="C153" s="3"/>
      <c r="D153" s="13"/>
      <c r="E153" s="13"/>
      <c r="F153" s="3"/>
      <c r="G153" s="3"/>
      <c r="H153" s="3"/>
      <c r="I153" s="2"/>
      <c r="J153" s="3"/>
      <c r="K153" s="3"/>
      <c r="L153" s="3"/>
      <c r="M153" s="2"/>
      <c r="N153" s="3"/>
      <c r="O153" s="3"/>
      <c r="P153" s="3"/>
      <c r="Q153" s="2"/>
      <c r="R153" s="3"/>
      <c r="S153" s="3"/>
      <c r="T153" s="3"/>
    </row>
    <row r="154" spans="1:20" s="40" customFormat="1" ht="15.95">
      <c r="A154" s="5"/>
      <c r="B154" s="4"/>
      <c r="C154" s="5"/>
      <c r="D154" s="11"/>
      <c r="E154" s="11"/>
      <c r="F154" s="5"/>
      <c r="G154" s="5"/>
      <c r="H154" s="5"/>
      <c r="I154" s="14"/>
      <c r="J154" s="5"/>
      <c r="K154" s="5"/>
      <c r="L154" s="5"/>
      <c r="M154" s="14"/>
      <c r="N154" s="5"/>
      <c r="O154" s="5"/>
      <c r="P154" s="5"/>
      <c r="Q154" s="14"/>
      <c r="R154" s="5"/>
      <c r="S154" s="5"/>
      <c r="T154" s="5"/>
    </row>
    <row r="155" spans="1:20" s="40" customFormat="1" ht="15.95">
      <c r="A155" s="5"/>
      <c r="B155" s="4"/>
      <c r="C155" s="5"/>
      <c r="D155" s="11"/>
      <c r="E155" s="11"/>
      <c r="F155" s="5"/>
      <c r="G155" s="5"/>
      <c r="H155" s="5"/>
      <c r="I155" s="2"/>
      <c r="J155" s="3"/>
      <c r="K155" s="5"/>
      <c r="L155" s="5"/>
      <c r="M155" s="2"/>
      <c r="N155" s="5"/>
      <c r="O155" s="5"/>
      <c r="P155" s="5"/>
      <c r="Q155" s="2"/>
      <c r="R155" s="5"/>
      <c r="S155" s="5"/>
      <c r="T155" s="5"/>
    </row>
    <row r="156" spans="1:20" s="40" customFormat="1" ht="15.95">
      <c r="A156" s="5"/>
      <c r="B156" s="1"/>
      <c r="C156" s="3"/>
      <c r="D156" s="11"/>
      <c r="E156" s="11"/>
      <c r="F156" s="5"/>
      <c r="G156" s="5"/>
      <c r="H156" s="5"/>
      <c r="I156" s="4"/>
      <c r="J156" s="5"/>
      <c r="K156" s="5"/>
      <c r="L156" s="5"/>
      <c r="M156" s="4"/>
      <c r="N156" s="5"/>
      <c r="O156" s="5"/>
      <c r="P156" s="5"/>
      <c r="Q156" s="4"/>
      <c r="R156" s="5"/>
      <c r="S156" s="5"/>
      <c r="T156" s="5"/>
    </row>
    <row r="157" spans="1:20" s="40" customFormat="1" ht="15.95">
      <c r="A157" s="5"/>
      <c r="B157" s="1"/>
      <c r="C157" s="3"/>
      <c r="D157" s="11"/>
      <c r="E157" s="11"/>
      <c r="F157" s="5"/>
      <c r="G157" s="5"/>
      <c r="H157" s="5"/>
      <c r="I157" s="4"/>
      <c r="J157" s="5"/>
      <c r="K157" s="5"/>
      <c r="L157" s="5"/>
      <c r="M157" s="4"/>
      <c r="N157" s="5"/>
      <c r="O157" s="5"/>
      <c r="P157" s="5"/>
      <c r="Q157" s="4"/>
      <c r="R157" s="5"/>
      <c r="S157" s="5"/>
      <c r="T157" s="5"/>
    </row>
    <row r="158" spans="1:20" ht="15.95">
      <c r="A158" s="3"/>
      <c r="B158" s="1"/>
      <c r="C158" s="3"/>
      <c r="D158" s="13"/>
      <c r="E158" s="13"/>
      <c r="F158" s="3"/>
      <c r="G158" s="3"/>
      <c r="H158" s="3"/>
      <c r="I158" s="5"/>
      <c r="J158" s="5"/>
      <c r="K158" s="3"/>
      <c r="L158" s="3"/>
      <c r="M158" s="4"/>
      <c r="N158" s="3"/>
      <c r="O158" s="3"/>
      <c r="P158" s="3"/>
      <c r="Q158" s="4"/>
      <c r="R158" s="3"/>
      <c r="S158" s="3"/>
      <c r="T158" s="3"/>
    </row>
    <row r="159" spans="1:20" ht="15.95">
      <c r="A159" s="3"/>
      <c r="B159" s="1"/>
      <c r="C159" s="3"/>
      <c r="D159" s="13"/>
      <c r="E159" s="13"/>
      <c r="F159" s="3"/>
      <c r="G159" s="3"/>
      <c r="H159" s="3"/>
      <c r="I159" s="5"/>
      <c r="J159" s="5"/>
      <c r="K159" s="3"/>
      <c r="L159" s="3"/>
      <c r="M159" s="1"/>
      <c r="N159" s="3"/>
      <c r="O159" s="3"/>
      <c r="P159" s="3"/>
      <c r="Q159" s="1"/>
      <c r="R159" s="3"/>
      <c r="S159" s="3"/>
      <c r="T159" s="3"/>
    </row>
    <row r="160" spans="1:20" ht="15.95">
      <c r="A160" s="3"/>
      <c r="B160" s="1"/>
      <c r="C160" s="3"/>
      <c r="D160" s="13"/>
      <c r="E160" s="13"/>
      <c r="F160" s="3"/>
      <c r="G160" s="3"/>
      <c r="H160" s="3"/>
      <c r="I160" s="5"/>
      <c r="J160" s="5"/>
      <c r="K160" s="3"/>
      <c r="L160" s="3"/>
      <c r="M160" s="1"/>
      <c r="N160" s="3"/>
      <c r="O160" s="3"/>
      <c r="P160" s="3"/>
      <c r="Q160" s="1"/>
      <c r="R160" s="3"/>
      <c r="S160" s="3"/>
      <c r="T160" s="3"/>
    </row>
    <row r="161" spans="1:20" ht="15.95">
      <c r="A161" s="3"/>
      <c r="B161" s="1"/>
      <c r="C161" s="3"/>
      <c r="D161" s="13"/>
      <c r="E161" s="13"/>
      <c r="F161" s="3"/>
      <c r="G161" s="3"/>
      <c r="H161" s="3"/>
      <c r="I161" s="3"/>
      <c r="J161" s="3"/>
      <c r="K161" s="3"/>
      <c r="L161" s="3"/>
      <c r="M161" s="1"/>
      <c r="N161" s="3"/>
      <c r="O161" s="3"/>
      <c r="P161" s="3"/>
      <c r="Q161" s="1"/>
      <c r="R161" s="3"/>
      <c r="S161" s="3"/>
      <c r="T161" s="3"/>
    </row>
    <row r="162" spans="1:20" ht="15.95">
      <c r="A162" s="3"/>
      <c r="B162" s="1"/>
      <c r="C162" s="3"/>
      <c r="D162" s="13"/>
      <c r="E162" s="13"/>
      <c r="F162" s="3"/>
      <c r="G162" s="3"/>
      <c r="H162" s="3"/>
      <c r="I162" s="3"/>
      <c r="J162" s="3"/>
      <c r="K162" s="3"/>
      <c r="L162" s="3"/>
      <c r="M162" s="1"/>
      <c r="N162" s="3"/>
      <c r="O162" s="3"/>
      <c r="P162" s="3"/>
      <c r="Q162" s="1"/>
      <c r="R162" s="3"/>
      <c r="S162" s="3"/>
      <c r="T162" s="3"/>
    </row>
    <row r="163" spans="1:20" ht="15.95">
      <c r="A163" s="3"/>
      <c r="B163" s="1"/>
      <c r="C163" s="3"/>
      <c r="D163" s="13"/>
      <c r="E163" s="13"/>
      <c r="F163" s="3"/>
      <c r="G163" s="3"/>
      <c r="H163" s="3"/>
      <c r="I163" s="3"/>
      <c r="J163" s="3"/>
      <c r="K163" s="3"/>
      <c r="L163" s="3"/>
      <c r="M163" s="3"/>
      <c r="N163" s="1"/>
      <c r="O163" s="3"/>
      <c r="P163" s="3"/>
      <c r="Q163" s="1"/>
      <c r="R163" s="3"/>
      <c r="S163" s="3"/>
      <c r="T163" s="3"/>
    </row>
    <row r="164" spans="1:20" ht="15.95">
      <c r="A164" s="3"/>
      <c r="B164" s="1"/>
      <c r="C164" s="3"/>
      <c r="D164" s="13"/>
      <c r="E164" s="13"/>
      <c r="F164" s="3"/>
      <c r="G164" s="3"/>
      <c r="H164" s="3"/>
      <c r="I164" s="3"/>
      <c r="J164" s="3"/>
      <c r="K164" s="3"/>
      <c r="L164" s="3"/>
      <c r="M164" s="3"/>
      <c r="N164" s="1"/>
      <c r="O164" s="3"/>
      <c r="P164" s="3"/>
      <c r="Q164" s="1"/>
      <c r="R164" s="3"/>
      <c r="S164" s="3"/>
      <c r="T164" s="3"/>
    </row>
    <row r="165" spans="1:20" ht="15.95">
      <c r="A165" s="3"/>
      <c r="B165" s="1"/>
      <c r="C165" s="3"/>
      <c r="D165" s="13"/>
      <c r="E165" s="13"/>
      <c r="F165" s="3"/>
      <c r="G165" s="3"/>
      <c r="H165" s="3"/>
      <c r="I165" s="3"/>
      <c r="J165" s="3"/>
      <c r="K165" s="3"/>
      <c r="L165" s="3"/>
      <c r="M165" s="3"/>
      <c r="N165" s="1"/>
      <c r="O165" s="3"/>
      <c r="P165" s="3"/>
      <c r="Q165" s="1"/>
      <c r="R165" s="3"/>
      <c r="S165" s="3"/>
      <c r="T165" s="3"/>
    </row>
    <row r="166" spans="1:20" ht="15.95">
      <c r="A166" s="3"/>
      <c r="B166" s="1"/>
      <c r="C166" s="3"/>
      <c r="D166" s="13"/>
      <c r="E166" s="13"/>
      <c r="F166" s="3"/>
      <c r="G166" s="3"/>
      <c r="H166" s="3"/>
      <c r="I166" s="3"/>
      <c r="J166" s="3"/>
      <c r="K166" s="3"/>
      <c r="L166" s="3"/>
      <c r="M166" s="3"/>
      <c r="N166" s="1"/>
      <c r="O166" s="3"/>
      <c r="P166" s="3"/>
      <c r="Q166" s="1"/>
      <c r="R166" s="3"/>
      <c r="S166" s="3"/>
      <c r="T166" s="3"/>
    </row>
    <row r="167" spans="1:20" ht="15.95">
      <c r="A167" s="3"/>
      <c r="B167" s="1"/>
      <c r="C167" s="3"/>
      <c r="D167" s="13"/>
      <c r="E167" s="13"/>
      <c r="F167" s="3"/>
      <c r="G167" s="3"/>
      <c r="H167" s="3"/>
      <c r="I167" s="3"/>
      <c r="J167" s="3"/>
      <c r="K167" s="3"/>
      <c r="L167" s="3"/>
      <c r="M167" s="3"/>
      <c r="N167" s="1"/>
      <c r="O167" s="3"/>
      <c r="P167" s="3"/>
      <c r="Q167" s="1"/>
      <c r="R167" s="3"/>
      <c r="S167" s="3"/>
      <c r="T167" s="3"/>
    </row>
    <row r="168" spans="1:20" ht="15.95">
      <c r="A168" s="3"/>
      <c r="B168" s="1"/>
      <c r="C168" s="3"/>
      <c r="D168" s="13"/>
      <c r="E168" s="13"/>
      <c r="F168" s="3"/>
      <c r="G168" s="3"/>
      <c r="H168" s="3"/>
      <c r="I168" s="3"/>
      <c r="J168" s="3"/>
      <c r="K168" s="3"/>
      <c r="L168" s="3"/>
      <c r="M168" s="3"/>
      <c r="N168" s="1"/>
      <c r="O168" s="3"/>
      <c r="P168" s="3"/>
      <c r="Q168" s="1"/>
      <c r="R168" s="3"/>
      <c r="S168" s="3"/>
      <c r="T168" s="3"/>
    </row>
    <row r="169" spans="1:20" ht="15.95">
      <c r="A169" s="3"/>
      <c r="B169" s="3"/>
      <c r="C169" s="3"/>
      <c r="D169" s="13"/>
      <c r="E169" s="13"/>
      <c r="F169" s="3"/>
      <c r="G169" s="3"/>
      <c r="H169" s="3"/>
      <c r="I169" s="3"/>
      <c r="J169" s="3"/>
      <c r="K169" s="3"/>
      <c r="L169" s="3"/>
      <c r="M169" s="3"/>
      <c r="N169" s="1"/>
      <c r="O169" s="3"/>
      <c r="P169" s="3"/>
      <c r="Q169" s="1"/>
      <c r="R169" s="3"/>
      <c r="S169" s="3"/>
      <c r="T169" s="3"/>
    </row>
    <row r="170" spans="1:20" ht="15.95">
      <c r="A170" s="3"/>
      <c r="B170" s="3"/>
      <c r="C170" s="3"/>
      <c r="D170" s="13"/>
      <c r="E170" s="13"/>
      <c r="F170" s="3"/>
      <c r="G170" s="3"/>
      <c r="H170" s="3"/>
      <c r="I170" s="3"/>
      <c r="J170" s="3"/>
      <c r="K170" s="3"/>
      <c r="L170" s="3"/>
      <c r="M170" s="3"/>
      <c r="N170" s="1"/>
      <c r="O170" s="3"/>
      <c r="P170" s="3"/>
      <c r="Q170" s="1"/>
      <c r="R170" s="3"/>
      <c r="S170" s="3"/>
      <c r="T170" s="3"/>
    </row>
    <row r="171" spans="1:20" ht="15.95">
      <c r="A171" s="3"/>
      <c r="B171" s="3"/>
      <c r="C171" s="3"/>
      <c r="D171" s="13"/>
      <c r="E171" s="13"/>
      <c r="F171" s="3"/>
      <c r="G171" s="3"/>
      <c r="H171" s="3"/>
      <c r="I171" s="3"/>
      <c r="J171" s="3"/>
      <c r="K171" s="3"/>
      <c r="L171" s="3"/>
      <c r="M171" s="3"/>
      <c r="N171" s="1"/>
      <c r="O171" s="3"/>
      <c r="P171" s="3"/>
      <c r="Q171" s="1"/>
      <c r="R171" s="3"/>
      <c r="S171" s="3"/>
      <c r="T171" s="3"/>
    </row>
  </sheetData>
  <pageMargins left="0.7" right="0.7" top="0.75" bottom="0.75" header="0.3" footer="0.3"/>
  <pageSetup orientation="portrait" horizontalDpi="203" verticalDpi="203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81FF-FE57-4815-9654-D76882323001}">
  <dimension ref="A1:W69"/>
  <sheetViews>
    <sheetView topLeftCell="B1" workbookViewId="0">
      <pane ySplit="2" topLeftCell="A50" activePane="bottomLeft" state="frozen"/>
      <selection pane="bottomLeft" activeCell="B60" sqref="B60"/>
    </sheetView>
  </sheetViews>
  <sheetFormatPr defaultColWidth="8.85546875" defaultRowHeight="15.95"/>
  <cols>
    <col min="1" max="1" width="14.140625" style="3" customWidth="1"/>
    <col min="2" max="2" width="60.28515625" style="3" customWidth="1"/>
    <col min="3" max="3" width="2.140625" style="3" customWidth="1"/>
    <col min="4" max="4" width="14.5703125" style="13" customWidth="1"/>
    <col min="5" max="5" width="2.140625" style="3" customWidth="1"/>
    <col min="6" max="6" width="14.5703125" style="13" customWidth="1"/>
    <col min="7" max="7" width="2.140625" style="3" customWidth="1"/>
    <col min="8" max="8" width="26.5703125" style="3" customWidth="1"/>
    <col min="9" max="9" width="2.42578125" style="3" customWidth="1"/>
    <col min="10" max="10" width="13.7109375" style="3" customWidth="1"/>
    <col min="11" max="11" width="2.42578125" style="3" customWidth="1"/>
    <col min="12" max="12" width="8.85546875" style="3"/>
    <col min="13" max="13" width="13.7109375" style="3" customWidth="1"/>
    <col min="14" max="14" width="2.7109375" style="3" customWidth="1"/>
    <col min="15" max="15" width="8.85546875" style="3"/>
    <col min="16" max="16" width="13.7109375" style="3" customWidth="1"/>
    <col min="17" max="17" width="2.7109375" style="3" customWidth="1"/>
    <col min="18" max="18" width="6.85546875" style="3" customWidth="1"/>
    <col min="19" max="19" width="11.42578125" style="3" customWidth="1"/>
    <col min="20" max="20" width="2.42578125" style="3" customWidth="1"/>
    <col min="21" max="21" width="15.5703125" style="3" customWidth="1"/>
    <col min="22" max="22" width="3.140625" style="3" customWidth="1"/>
    <col min="23" max="23" width="31" style="3" customWidth="1"/>
    <col min="24" max="16384" width="8.85546875" style="3"/>
  </cols>
  <sheetData>
    <row r="1" spans="1:23" s="5" customFormat="1">
      <c r="A1" s="5" t="s">
        <v>402</v>
      </c>
      <c r="D1" s="11"/>
      <c r="F1" s="11"/>
      <c r="L1" s="4"/>
      <c r="O1" s="4"/>
      <c r="R1" s="4"/>
    </row>
    <row r="2" spans="1:23" s="5" customFormat="1" ht="47.65">
      <c r="B2" s="5" t="s">
        <v>896</v>
      </c>
      <c r="D2" s="12" t="s">
        <v>111</v>
      </c>
      <c r="F2" s="12" t="s">
        <v>68</v>
      </c>
      <c r="H2" s="6" t="s">
        <v>5</v>
      </c>
      <c r="I2" s="6"/>
      <c r="J2" s="7" t="s">
        <v>674</v>
      </c>
      <c r="K2" s="6"/>
      <c r="L2" s="17"/>
      <c r="M2" s="7" t="s">
        <v>193</v>
      </c>
      <c r="O2" s="17"/>
      <c r="P2" s="7" t="s">
        <v>69</v>
      </c>
      <c r="R2" s="17"/>
      <c r="S2" s="7" t="s">
        <v>70</v>
      </c>
      <c r="U2" s="5" t="s">
        <v>71</v>
      </c>
      <c r="W2" s="5" t="s">
        <v>404</v>
      </c>
    </row>
    <row r="3" spans="1:23" s="5" customFormat="1">
      <c r="A3" s="4" t="s">
        <v>73</v>
      </c>
      <c r="D3" s="11"/>
      <c r="F3" s="11"/>
    </row>
    <row r="4" spans="1:23">
      <c r="L4" s="1"/>
      <c r="O4" s="1"/>
      <c r="R4" s="1"/>
    </row>
    <row r="5" spans="1:23">
      <c r="B5" s="3" t="s">
        <v>897</v>
      </c>
      <c r="D5" s="13">
        <v>150</v>
      </c>
      <c r="L5" s="8" t="b">
        <v>0</v>
      </c>
      <c r="O5" s="8" t="b">
        <v>0</v>
      </c>
      <c r="R5" s="8" t="b">
        <v>0</v>
      </c>
    </row>
    <row r="6" spans="1:23">
      <c r="L6" s="8" t="b">
        <v>0</v>
      </c>
      <c r="O6" s="8" t="b">
        <v>0</v>
      </c>
      <c r="R6" s="8" t="b">
        <v>0</v>
      </c>
    </row>
    <row r="7" spans="1:23">
      <c r="B7" s="3" t="s">
        <v>676</v>
      </c>
      <c r="L7" s="8" t="b">
        <v>0</v>
      </c>
      <c r="O7" s="8" t="b">
        <v>0</v>
      </c>
      <c r="R7" s="8" t="b">
        <v>0</v>
      </c>
    </row>
    <row r="8" spans="1:23">
      <c r="L8" s="8" t="b">
        <v>0</v>
      </c>
      <c r="O8" s="8" t="b">
        <v>0</v>
      </c>
      <c r="R8" s="8" t="b">
        <v>0</v>
      </c>
    </row>
    <row r="9" spans="1:23">
      <c r="L9" s="8" t="b">
        <v>0</v>
      </c>
      <c r="O9" s="8" t="b">
        <v>0</v>
      </c>
      <c r="R9" s="8" t="b">
        <v>0</v>
      </c>
    </row>
    <row r="10" spans="1:23">
      <c r="A10" s="3" t="s">
        <v>677</v>
      </c>
      <c r="B10" s="3" t="s">
        <v>898</v>
      </c>
      <c r="D10" s="13">
        <v>950</v>
      </c>
      <c r="F10" s="13">
        <v>419.02</v>
      </c>
      <c r="L10" s="8" t="b">
        <v>0</v>
      </c>
      <c r="M10" s="10"/>
      <c r="O10" s="8" t="b">
        <v>0</v>
      </c>
      <c r="P10" s="10"/>
      <c r="R10" s="8" t="b">
        <v>0</v>
      </c>
    </row>
    <row r="11" spans="1:23">
      <c r="B11" s="3" t="s">
        <v>899</v>
      </c>
      <c r="F11" s="13">
        <v>213.88</v>
      </c>
      <c r="L11" s="8" t="b">
        <v>0</v>
      </c>
      <c r="M11" s="10"/>
      <c r="O11" s="8" t="b">
        <v>0</v>
      </c>
      <c r="P11" s="10"/>
      <c r="R11" s="8" t="b">
        <v>0</v>
      </c>
    </row>
    <row r="12" spans="1:23">
      <c r="B12" s="3" t="s">
        <v>900</v>
      </c>
      <c r="F12" s="13">
        <v>150.46</v>
      </c>
      <c r="L12" s="8" t="b">
        <v>0</v>
      </c>
      <c r="M12" s="10"/>
      <c r="O12" s="8" t="b">
        <v>0</v>
      </c>
      <c r="P12" s="10"/>
      <c r="R12" s="8" t="b">
        <v>0</v>
      </c>
    </row>
    <row r="13" spans="1:23">
      <c r="L13" s="1"/>
      <c r="O13" s="1"/>
      <c r="R13" s="1"/>
    </row>
    <row r="14" spans="1:23">
      <c r="A14" s="3" t="s">
        <v>301</v>
      </c>
      <c r="B14" s="3" t="s">
        <v>901</v>
      </c>
      <c r="J14" s="10"/>
      <c r="L14" s="8" t="b">
        <v>0</v>
      </c>
      <c r="M14" s="10"/>
      <c r="O14" s="8" t="b">
        <v>0</v>
      </c>
      <c r="P14" s="10"/>
      <c r="R14" s="8" t="b">
        <v>0</v>
      </c>
    </row>
    <row r="15" spans="1:23">
      <c r="B15" s="3" t="s">
        <v>902</v>
      </c>
      <c r="J15" s="10"/>
      <c r="L15" s="8" t="b">
        <v>0</v>
      </c>
      <c r="M15" s="10"/>
      <c r="O15" s="8" t="b">
        <v>0</v>
      </c>
      <c r="P15" s="10"/>
      <c r="R15" s="8" t="b">
        <v>0</v>
      </c>
    </row>
    <row r="16" spans="1:23">
      <c r="B16" s="3" t="s">
        <v>903</v>
      </c>
      <c r="J16" s="10"/>
      <c r="L16" s="8" t="b">
        <v>0</v>
      </c>
      <c r="M16" s="10"/>
      <c r="O16" s="8" t="b">
        <v>0</v>
      </c>
      <c r="P16" s="10"/>
      <c r="R16" s="8" t="b">
        <v>0</v>
      </c>
    </row>
    <row r="17" spans="1:18">
      <c r="J17" s="10"/>
      <c r="L17" s="8" t="b">
        <v>0</v>
      </c>
      <c r="M17" s="10"/>
      <c r="O17" s="8" t="b">
        <v>0</v>
      </c>
      <c r="P17" s="10"/>
      <c r="R17" s="8" t="b">
        <v>0</v>
      </c>
    </row>
    <row r="18" spans="1:18">
      <c r="J18" s="10"/>
      <c r="L18" s="8" t="b">
        <v>0</v>
      </c>
      <c r="M18" s="10"/>
      <c r="O18" s="8" t="b">
        <v>0</v>
      </c>
      <c r="P18" s="10"/>
      <c r="R18" s="8" t="b">
        <v>0</v>
      </c>
    </row>
    <row r="19" spans="1:18">
      <c r="J19" s="10"/>
      <c r="L19" s="8" t="b">
        <v>0</v>
      </c>
      <c r="M19" s="10"/>
      <c r="O19" s="8" t="b">
        <v>0</v>
      </c>
      <c r="P19" s="10"/>
      <c r="R19" s="8" t="b">
        <v>0</v>
      </c>
    </row>
    <row r="20" spans="1:18">
      <c r="B20" s="3" t="s">
        <v>904</v>
      </c>
      <c r="J20" s="10"/>
      <c r="L20" s="8" t="b">
        <v>0</v>
      </c>
      <c r="M20" s="10"/>
      <c r="O20" s="8" t="b">
        <v>0</v>
      </c>
      <c r="P20" s="10"/>
      <c r="R20" s="8" t="b">
        <v>0</v>
      </c>
    </row>
    <row r="21" spans="1:18">
      <c r="J21" s="10"/>
      <c r="L21" s="1"/>
      <c r="M21" s="10"/>
      <c r="O21" s="1"/>
      <c r="P21" s="10"/>
      <c r="R21" s="1"/>
    </row>
    <row r="22" spans="1:18">
      <c r="A22" s="3" t="s">
        <v>407</v>
      </c>
      <c r="B22" s="3" t="s">
        <v>905</v>
      </c>
      <c r="D22" s="13">
        <v>11250</v>
      </c>
      <c r="F22" s="13">
        <v>15208.19</v>
      </c>
      <c r="H22" s="3" t="s">
        <v>598</v>
      </c>
      <c r="J22" s="13">
        <f>F22-D22</f>
        <v>3958.1900000000005</v>
      </c>
      <c r="L22" s="8" t="b">
        <v>0</v>
      </c>
      <c r="M22" s="10">
        <v>45843</v>
      </c>
      <c r="O22" s="8" t="b">
        <v>0</v>
      </c>
      <c r="P22" s="10"/>
      <c r="R22" s="8" t="b">
        <v>0</v>
      </c>
    </row>
    <row r="23" spans="1:18" s="5" customFormat="1">
      <c r="B23" s="3" t="s">
        <v>906</v>
      </c>
      <c r="C23" s="3"/>
      <c r="D23" s="13"/>
      <c r="F23" s="13">
        <v>3310.42</v>
      </c>
      <c r="L23" s="1"/>
      <c r="O23" s="1"/>
      <c r="R23" s="1"/>
    </row>
    <row r="24" spans="1:18">
      <c r="B24" s="3" t="s">
        <v>907</v>
      </c>
      <c r="J24" s="10"/>
      <c r="L24" s="8" t="b">
        <v>0</v>
      </c>
      <c r="M24" s="10"/>
      <c r="O24" s="8" t="b">
        <v>0</v>
      </c>
      <c r="P24" s="10"/>
      <c r="R24" s="8" t="b">
        <v>0</v>
      </c>
    </row>
    <row r="25" spans="1:18">
      <c r="B25" s="3" t="s">
        <v>908</v>
      </c>
      <c r="F25" s="13">
        <v>85.27</v>
      </c>
      <c r="H25" s="3" t="s">
        <v>8</v>
      </c>
      <c r="J25" s="10"/>
      <c r="L25" s="8" t="b">
        <v>0</v>
      </c>
      <c r="M25" s="10"/>
      <c r="O25" s="8" t="b">
        <v>0</v>
      </c>
      <c r="P25" s="10">
        <v>45876</v>
      </c>
      <c r="R25" s="8" t="b">
        <v>1</v>
      </c>
    </row>
    <row r="26" spans="1:18">
      <c r="B26" s="3" t="s">
        <v>909</v>
      </c>
      <c r="F26" s="13">
        <v>84</v>
      </c>
      <c r="H26" s="3" t="s">
        <v>910</v>
      </c>
      <c r="J26" s="10"/>
      <c r="L26" s="8" t="b">
        <v>0</v>
      </c>
      <c r="M26" s="10"/>
      <c r="O26" s="8" t="b">
        <v>0</v>
      </c>
      <c r="P26" s="10">
        <v>45879</v>
      </c>
      <c r="R26" s="8" t="b">
        <v>0</v>
      </c>
    </row>
    <row r="27" spans="1:18">
      <c r="B27" s="3" t="s">
        <v>911</v>
      </c>
      <c r="F27" s="13">
        <v>350</v>
      </c>
      <c r="H27" s="3" t="s">
        <v>912</v>
      </c>
      <c r="J27" s="10"/>
      <c r="L27" s="1"/>
      <c r="M27" s="10"/>
      <c r="O27" s="1"/>
      <c r="P27" s="10"/>
      <c r="R27" s="1"/>
    </row>
    <row r="28" spans="1:18">
      <c r="A28" s="3" t="s">
        <v>411</v>
      </c>
      <c r="B28" s="3" t="s">
        <v>913</v>
      </c>
      <c r="F28" s="13">
        <v>6400</v>
      </c>
      <c r="H28" s="3" t="s">
        <v>914</v>
      </c>
      <c r="J28" s="10"/>
      <c r="L28" s="8" t="b">
        <v>0</v>
      </c>
      <c r="M28" s="10"/>
      <c r="O28" s="8" t="b">
        <v>0</v>
      </c>
      <c r="P28" s="10"/>
      <c r="R28" s="8" t="b">
        <v>0</v>
      </c>
    </row>
    <row r="29" spans="1:18">
      <c r="B29" s="3" t="s">
        <v>915</v>
      </c>
      <c r="J29" s="10"/>
      <c r="L29" s="8" t="b">
        <v>0</v>
      </c>
      <c r="M29" s="10"/>
      <c r="O29" s="8" t="b">
        <v>0</v>
      </c>
      <c r="P29" s="10"/>
      <c r="R29" s="8" t="b">
        <v>0</v>
      </c>
    </row>
    <row r="30" spans="1:18">
      <c r="B30" s="3" t="s">
        <v>916</v>
      </c>
      <c r="F30" s="13">
        <v>354.62</v>
      </c>
      <c r="H30" s="3" t="s">
        <v>10</v>
      </c>
      <c r="J30" s="10"/>
      <c r="L30" s="8" t="b">
        <v>0</v>
      </c>
      <c r="M30" s="10"/>
      <c r="O30" s="8" t="b">
        <v>0</v>
      </c>
      <c r="P30" s="10"/>
      <c r="R30" s="8" t="b">
        <v>0</v>
      </c>
    </row>
    <row r="31" spans="1:18">
      <c r="B31" s="3" t="s">
        <v>917</v>
      </c>
      <c r="F31" s="13">
        <v>51.47</v>
      </c>
      <c r="H31" s="3" t="s">
        <v>549</v>
      </c>
      <c r="J31" s="10"/>
      <c r="L31" s="8" t="b">
        <v>0</v>
      </c>
      <c r="M31" s="10"/>
      <c r="O31" s="8" t="b">
        <v>0</v>
      </c>
      <c r="P31" s="10">
        <v>45883</v>
      </c>
      <c r="R31" s="8" t="b">
        <v>0</v>
      </c>
    </row>
    <row r="32" spans="1:18">
      <c r="J32" s="10"/>
      <c r="L32" s="1"/>
      <c r="M32" s="10"/>
      <c r="O32" s="1"/>
      <c r="P32" s="10"/>
      <c r="R32" s="1"/>
    </row>
    <row r="33" spans="1:18">
      <c r="A33" s="3" t="s">
        <v>183</v>
      </c>
      <c r="B33" s="3" t="s">
        <v>918</v>
      </c>
      <c r="L33" s="8" t="b">
        <v>0</v>
      </c>
      <c r="M33" s="10"/>
      <c r="O33" s="8" t="b">
        <v>0</v>
      </c>
      <c r="P33" s="10"/>
      <c r="R33" s="8" t="b">
        <v>0</v>
      </c>
    </row>
    <row r="34" spans="1:18">
      <c r="B34" s="3" t="s">
        <v>919</v>
      </c>
      <c r="J34" s="10"/>
      <c r="L34" s="1"/>
      <c r="M34" s="10"/>
      <c r="O34" s="1"/>
      <c r="P34" s="10"/>
      <c r="R34" s="1"/>
    </row>
    <row r="35" spans="1:18">
      <c r="L35" s="18"/>
      <c r="O35" s="18"/>
      <c r="P35" s="10"/>
      <c r="R35" s="18"/>
    </row>
    <row r="36" spans="1:18">
      <c r="L36" s="18"/>
      <c r="M36" s="10"/>
      <c r="O36" s="18"/>
      <c r="P36" s="10"/>
      <c r="R36" s="18"/>
    </row>
    <row r="37" spans="1:18">
      <c r="L37" s="18"/>
      <c r="M37" s="10"/>
      <c r="O37" s="18"/>
      <c r="P37" s="10"/>
      <c r="R37" s="18"/>
    </row>
    <row r="38" spans="1:18">
      <c r="J38" s="10"/>
      <c r="L38" s="1"/>
      <c r="M38" s="10"/>
      <c r="O38" s="1"/>
      <c r="P38" s="10"/>
      <c r="R38" s="1"/>
    </row>
    <row r="39" spans="1:18">
      <c r="L39" s="8" t="b">
        <v>0</v>
      </c>
      <c r="O39" s="8" t="b">
        <v>0</v>
      </c>
      <c r="R39" s="8" t="b">
        <v>0</v>
      </c>
    </row>
    <row r="40" spans="1:18">
      <c r="L40" s="1"/>
      <c r="O40" s="1"/>
      <c r="R40" s="1"/>
    </row>
    <row r="41" spans="1:18">
      <c r="A41" s="3" t="s">
        <v>366</v>
      </c>
      <c r="B41" s="3" t="s">
        <v>920</v>
      </c>
      <c r="D41" s="13">
        <v>4200</v>
      </c>
      <c r="F41" s="13">
        <v>329.77</v>
      </c>
      <c r="L41" s="8" t="b">
        <v>0</v>
      </c>
      <c r="O41" s="8" t="b">
        <v>0</v>
      </c>
      <c r="R41" s="8" t="b">
        <v>0</v>
      </c>
    </row>
    <row r="42" spans="1:18">
      <c r="L42" s="8" t="b">
        <v>0</v>
      </c>
      <c r="O42" s="8" t="b">
        <v>0</v>
      </c>
      <c r="R42" s="8" t="b">
        <v>0</v>
      </c>
    </row>
    <row r="43" spans="1:18">
      <c r="L43" s="8" t="b">
        <v>0</v>
      </c>
      <c r="O43" s="8" t="b">
        <v>0</v>
      </c>
      <c r="R43" s="8" t="b">
        <v>0</v>
      </c>
    </row>
    <row r="44" spans="1:18">
      <c r="L44" s="8" t="b">
        <v>0</v>
      </c>
      <c r="O44" s="8" t="b">
        <v>0</v>
      </c>
      <c r="R44" s="8" t="b">
        <v>0</v>
      </c>
    </row>
    <row r="45" spans="1:18" s="5" customFormat="1">
      <c r="A45" s="3" t="s">
        <v>377</v>
      </c>
      <c r="B45" s="3" t="s">
        <v>921</v>
      </c>
      <c r="C45" s="3"/>
      <c r="D45" s="13"/>
      <c r="F45" s="13"/>
      <c r="L45" s="8" t="b">
        <v>0</v>
      </c>
      <c r="O45" s="8" t="b">
        <v>0</v>
      </c>
      <c r="R45" s="8" t="b">
        <v>0</v>
      </c>
    </row>
    <row r="46" spans="1:18" s="5" customFormat="1">
      <c r="B46" s="3"/>
      <c r="C46" s="3"/>
      <c r="D46" s="13"/>
      <c r="F46" s="13"/>
      <c r="L46" s="8" t="b">
        <v>0</v>
      </c>
      <c r="O46" s="8" t="b">
        <v>0</v>
      </c>
      <c r="R46" s="8" t="b">
        <v>0</v>
      </c>
    </row>
    <row r="47" spans="1:18" s="5" customFormat="1">
      <c r="B47" s="3"/>
      <c r="C47" s="3"/>
      <c r="D47" s="13"/>
      <c r="F47" s="13"/>
      <c r="L47" s="8" t="b">
        <v>0</v>
      </c>
      <c r="O47" s="8" t="b">
        <v>0</v>
      </c>
      <c r="R47" s="8" t="b">
        <v>0</v>
      </c>
    </row>
    <row r="48" spans="1:18" s="5" customFormat="1">
      <c r="A48" s="3" t="s">
        <v>558</v>
      </c>
      <c r="B48" s="3" t="s">
        <v>922</v>
      </c>
      <c r="C48" s="3"/>
      <c r="D48" s="13"/>
      <c r="F48" s="13"/>
      <c r="L48" s="8" t="b">
        <v>0</v>
      </c>
      <c r="O48" s="8" t="b">
        <v>0</v>
      </c>
      <c r="R48" s="8" t="b">
        <v>0</v>
      </c>
    </row>
    <row r="49" spans="2:18" s="5" customFormat="1">
      <c r="B49" s="3" t="s">
        <v>923</v>
      </c>
      <c r="C49" s="3"/>
      <c r="D49" s="13"/>
      <c r="F49" s="13"/>
      <c r="L49" s="8" t="b">
        <v>0</v>
      </c>
      <c r="O49" s="8" t="b">
        <v>0</v>
      </c>
      <c r="R49" s="8" t="b">
        <v>0</v>
      </c>
    </row>
    <row r="50" spans="2:18" s="5" customFormat="1">
      <c r="B50" s="3" t="s">
        <v>924</v>
      </c>
      <c r="C50" s="3"/>
      <c r="D50" s="13"/>
      <c r="F50" s="13"/>
      <c r="L50" s="8" t="b">
        <v>0</v>
      </c>
      <c r="O50" s="8" t="b">
        <v>0</v>
      </c>
      <c r="R50" s="8" t="b">
        <v>0</v>
      </c>
    </row>
    <row r="51" spans="2:18" s="5" customFormat="1">
      <c r="B51" s="3"/>
      <c r="C51" s="3"/>
      <c r="D51" s="13"/>
      <c r="F51" s="13"/>
      <c r="L51" s="8" t="b">
        <v>0</v>
      </c>
      <c r="O51" s="8" t="b">
        <v>0</v>
      </c>
      <c r="R51" s="8" t="b">
        <v>0</v>
      </c>
    </row>
    <row r="52" spans="2:18" s="5" customFormat="1">
      <c r="B52" s="3"/>
      <c r="C52" s="3"/>
      <c r="D52" s="13"/>
      <c r="F52" s="13"/>
      <c r="L52" s="8" t="b">
        <v>0</v>
      </c>
      <c r="O52" s="8" t="b">
        <v>0</v>
      </c>
      <c r="R52" s="8" t="b">
        <v>0</v>
      </c>
    </row>
    <row r="53" spans="2:18" s="5" customFormat="1">
      <c r="B53" s="5" t="s">
        <v>509</v>
      </c>
      <c r="D53" s="11">
        <f>SUM(D4:D52)</f>
        <v>16550</v>
      </c>
      <c r="F53" s="11">
        <f>SUM(F4:F52)</f>
        <v>26957.100000000002</v>
      </c>
      <c r="L53" s="14"/>
      <c r="O53" s="14"/>
      <c r="R53" s="14"/>
    </row>
    <row r="54" spans="2:18" s="5" customFormat="1">
      <c r="D54" s="11"/>
      <c r="F54" s="11"/>
      <c r="L54" s="4"/>
      <c r="O54" s="4"/>
      <c r="R54" s="4"/>
    </row>
    <row r="55" spans="2:18" s="5" customFormat="1">
      <c r="D55" s="11"/>
      <c r="F55" s="11"/>
      <c r="L55" s="4"/>
      <c r="O55" s="4"/>
      <c r="R55" s="4"/>
    </row>
    <row r="56" spans="2:18" s="5" customFormat="1">
      <c r="B56" s="3" t="s">
        <v>925</v>
      </c>
      <c r="C56" s="3"/>
      <c r="D56" s="13">
        <v>7989</v>
      </c>
      <c r="F56" s="13"/>
      <c r="L56" s="1"/>
      <c r="O56" s="1"/>
      <c r="R56" s="1"/>
    </row>
    <row r="57" spans="2:18">
      <c r="B57" s="3" t="s">
        <v>926</v>
      </c>
      <c r="L57" s="1"/>
      <c r="O57" s="1"/>
      <c r="R57" s="1"/>
    </row>
    <row r="58" spans="2:18">
      <c r="B58" s="3" t="s">
        <v>927</v>
      </c>
      <c r="L58" s="1"/>
      <c r="O58" s="1"/>
      <c r="R58" s="1"/>
    </row>
    <row r="59" spans="2:18">
      <c r="B59" s="3" t="s">
        <v>928</v>
      </c>
      <c r="L59" s="1"/>
      <c r="O59" s="1"/>
      <c r="R59" s="1"/>
    </row>
    <row r="60" spans="2:18">
      <c r="B60" s="10" t="s">
        <v>929</v>
      </c>
      <c r="L60" s="1"/>
      <c r="O60" s="1"/>
      <c r="R60" s="1"/>
    </row>
    <row r="61" spans="2:18">
      <c r="B61" s="3" t="s">
        <v>930</v>
      </c>
      <c r="L61" s="1"/>
      <c r="O61" s="1"/>
      <c r="R61" s="1"/>
    </row>
    <row r="62" spans="2:18">
      <c r="B62" s="3" t="s">
        <v>931</v>
      </c>
      <c r="L62" s="1"/>
      <c r="O62" s="1"/>
      <c r="R62" s="1"/>
    </row>
    <row r="63" spans="2:18">
      <c r="B63" s="3" t="s">
        <v>932</v>
      </c>
      <c r="L63" s="1"/>
      <c r="O63" s="1"/>
      <c r="R63" s="1"/>
    </row>
    <row r="64" spans="2:18">
      <c r="L64" s="1"/>
      <c r="O64" s="1"/>
      <c r="R64" s="1"/>
    </row>
    <row r="65" spans="12:18">
      <c r="L65" s="1"/>
      <c r="O65" s="1"/>
      <c r="R65" s="1"/>
    </row>
    <row r="66" spans="12:18">
      <c r="L66" s="1"/>
      <c r="O66" s="1"/>
      <c r="R66" s="1"/>
    </row>
    <row r="67" spans="12:18">
      <c r="L67" s="1"/>
      <c r="O67" s="1"/>
      <c r="R67" s="1"/>
    </row>
    <row r="68" spans="12:18">
      <c r="L68" s="1"/>
      <c r="O68" s="1"/>
      <c r="R68" s="1"/>
    </row>
    <row r="69" spans="12:18">
      <c r="L69" s="1"/>
      <c r="O69" s="1"/>
      <c r="R69" s="1"/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660A-71CC-4E56-BD5F-D99FB2E712DD}">
  <dimension ref="A1:V81"/>
  <sheetViews>
    <sheetView topLeftCell="C1" workbookViewId="0">
      <pane ySplit="2" topLeftCell="A16" activePane="bottomLeft" state="frozen"/>
      <selection pane="bottomLeft" activeCell="E16" sqref="E16"/>
      <selection activeCell="C1" sqref="C1"/>
    </sheetView>
  </sheetViews>
  <sheetFormatPr defaultColWidth="8.85546875" defaultRowHeight="15.75" customHeight="1"/>
  <cols>
    <col min="1" max="1" width="12.7109375" style="3" customWidth="1"/>
    <col min="2" max="2" width="8.85546875" style="3"/>
    <col min="3" max="3" width="47.85546875" style="3" customWidth="1"/>
    <col min="4" max="4" width="2.140625" style="3" customWidth="1"/>
    <col min="5" max="5" width="20.42578125" style="13" customWidth="1"/>
    <col min="6" max="6" width="24.140625" style="13" customWidth="1"/>
    <col min="7" max="7" width="26.5703125" style="3" customWidth="1"/>
    <col min="8" max="8" width="2.42578125" style="3" customWidth="1"/>
    <col min="9" max="9" width="13.7109375" style="3" customWidth="1"/>
    <col min="10" max="10" width="2.42578125" style="3" customWidth="1"/>
    <col min="11" max="11" width="8.85546875" style="3"/>
    <col min="12" max="12" width="13.7109375" style="3" customWidth="1"/>
    <col min="13" max="13" width="2.7109375" style="3" customWidth="1"/>
    <col min="14" max="14" width="8.85546875" style="3"/>
    <col min="15" max="15" width="13.7109375" style="3" customWidth="1"/>
    <col min="16" max="16" width="2.7109375" style="3" customWidth="1"/>
    <col min="17" max="17" width="8.85546875" style="3"/>
    <col min="18" max="18" width="11.42578125" style="3" customWidth="1"/>
    <col min="19" max="19" width="2.140625" style="3" customWidth="1"/>
    <col min="20" max="20" width="8.85546875" style="3"/>
    <col min="21" max="21" width="11.42578125" style="3" customWidth="1"/>
    <col min="22" max="22" width="32.5703125" style="3" customWidth="1"/>
    <col min="23" max="23" width="21.42578125" style="3" customWidth="1"/>
    <col min="24" max="16384" width="8.85546875" style="3"/>
  </cols>
  <sheetData>
    <row r="1" spans="1:22" s="5" customFormat="1" ht="15.95">
      <c r="A1" s="4" t="s">
        <v>560</v>
      </c>
      <c r="E1" s="11"/>
      <c r="F1" s="11"/>
      <c r="K1" s="4"/>
      <c r="N1" s="4"/>
      <c r="Q1" s="4"/>
      <c r="T1" s="4"/>
    </row>
    <row r="2" spans="1:22" s="5" customFormat="1" ht="47.65">
      <c r="B2" s="4"/>
      <c r="C2" s="5" t="s">
        <v>933</v>
      </c>
      <c r="E2" s="12" t="s">
        <v>111</v>
      </c>
      <c r="F2" s="50" t="s">
        <v>817</v>
      </c>
      <c r="G2" s="6" t="s">
        <v>5</v>
      </c>
      <c r="H2" s="6"/>
      <c r="I2" s="7" t="s">
        <v>591</v>
      </c>
      <c r="J2" s="6"/>
      <c r="K2" s="17"/>
      <c r="L2" s="7" t="s">
        <v>193</v>
      </c>
      <c r="N2" s="17"/>
      <c r="O2" s="7" t="s">
        <v>69</v>
      </c>
      <c r="Q2" s="17"/>
      <c r="R2" s="7" t="s">
        <v>70</v>
      </c>
      <c r="T2" s="17"/>
      <c r="U2" s="7" t="s">
        <v>71</v>
      </c>
      <c r="V2" s="6" t="s">
        <v>72</v>
      </c>
    </row>
    <row r="3" spans="1:22" s="5" customFormat="1" ht="15.95">
      <c r="A3" s="4" t="s">
        <v>73</v>
      </c>
      <c r="E3" s="11"/>
      <c r="F3" s="11"/>
    </row>
    <row r="4" spans="1:22" ht="15.95">
      <c r="B4" s="1"/>
      <c r="K4" s="1"/>
      <c r="N4" s="1"/>
      <c r="Q4" s="1"/>
      <c r="T4" s="1"/>
    </row>
    <row r="5" spans="1:22" ht="15.95">
      <c r="A5" s="20" t="s">
        <v>215</v>
      </c>
      <c r="B5" s="20"/>
      <c r="C5" s="20" t="s">
        <v>934</v>
      </c>
      <c r="E5" s="13">
        <v>150</v>
      </c>
      <c r="F5" s="13">
        <v>-150</v>
      </c>
      <c r="G5" s="3" t="s">
        <v>935</v>
      </c>
      <c r="K5" s="1"/>
      <c r="N5" s="1"/>
      <c r="Q5" s="8" t="b">
        <v>0</v>
      </c>
      <c r="T5" s="8" t="b">
        <v>0</v>
      </c>
    </row>
    <row r="6" spans="1:22" ht="15.95">
      <c r="A6" s="20"/>
      <c r="B6" s="20"/>
      <c r="C6" s="20" t="s">
        <v>562</v>
      </c>
      <c r="K6" s="8" t="b">
        <v>0</v>
      </c>
      <c r="N6" s="8" t="b">
        <v>0</v>
      </c>
      <c r="Q6" s="8" t="b">
        <v>0</v>
      </c>
      <c r="T6" s="8" t="b">
        <v>0</v>
      </c>
    </row>
    <row r="7" spans="1:22" ht="15.95">
      <c r="A7" s="20"/>
      <c r="B7" s="20"/>
      <c r="C7" s="20"/>
      <c r="K7" s="8" t="b">
        <v>0</v>
      </c>
      <c r="N7" s="8" t="b">
        <v>0</v>
      </c>
      <c r="Q7" s="8" t="b">
        <v>0</v>
      </c>
      <c r="T7" s="8" t="b">
        <v>0</v>
      </c>
    </row>
    <row r="8" spans="1:22" ht="15.95">
      <c r="A8" s="20"/>
      <c r="B8" s="20"/>
      <c r="C8" s="20"/>
      <c r="K8" s="8" t="b">
        <v>0</v>
      </c>
      <c r="N8" s="8" t="b">
        <v>0</v>
      </c>
      <c r="Q8" s="8" t="b">
        <v>0</v>
      </c>
      <c r="T8" s="8" t="b">
        <v>0</v>
      </c>
    </row>
    <row r="9" spans="1:22" ht="15.95">
      <c r="A9" s="20"/>
      <c r="B9" s="20"/>
      <c r="C9" s="20"/>
      <c r="K9" s="8" t="b">
        <v>0</v>
      </c>
      <c r="N9" s="8" t="b">
        <v>0</v>
      </c>
      <c r="Q9" s="8" t="b">
        <v>0</v>
      </c>
      <c r="T9" s="8" t="b">
        <v>0</v>
      </c>
    </row>
    <row r="10" spans="1:22" ht="15.95">
      <c r="A10" s="20"/>
      <c r="B10" s="20"/>
      <c r="C10" s="20"/>
      <c r="K10" s="8" t="b">
        <v>0</v>
      </c>
      <c r="N10" s="8" t="b">
        <v>0</v>
      </c>
      <c r="O10" s="10"/>
      <c r="Q10" s="8" t="b">
        <v>0</v>
      </c>
      <c r="T10" s="8" t="b">
        <v>0</v>
      </c>
    </row>
    <row r="11" spans="1:22" ht="15.95">
      <c r="A11" s="20" t="s">
        <v>563</v>
      </c>
      <c r="B11" s="20"/>
      <c r="C11" s="20" t="s">
        <v>936</v>
      </c>
      <c r="E11" s="13">
        <v>2100</v>
      </c>
      <c r="F11" s="13">
        <v>4995.6400000000003</v>
      </c>
      <c r="G11" s="3" t="s">
        <v>6</v>
      </c>
      <c r="K11" s="8" t="b">
        <v>0</v>
      </c>
      <c r="L11" s="10">
        <v>45844</v>
      </c>
      <c r="N11" s="8" t="b">
        <v>1</v>
      </c>
      <c r="O11" s="10">
        <v>45845</v>
      </c>
      <c r="Q11" s="8" t="b">
        <v>1</v>
      </c>
      <c r="R11" s="10"/>
      <c r="T11" s="8" t="b">
        <v>0</v>
      </c>
    </row>
    <row r="12" spans="1:22" ht="15.95">
      <c r="A12" s="20"/>
      <c r="B12" s="20"/>
      <c r="C12" s="20" t="s">
        <v>937</v>
      </c>
      <c r="G12" s="3" t="s">
        <v>6</v>
      </c>
      <c r="K12" s="8" t="b">
        <v>0</v>
      </c>
      <c r="L12" s="10"/>
      <c r="N12" s="8" t="b">
        <v>0</v>
      </c>
      <c r="O12" s="10">
        <v>45845</v>
      </c>
      <c r="Q12" s="8" t="b">
        <v>1</v>
      </c>
      <c r="R12" s="10"/>
      <c r="T12" s="8" t="b">
        <v>0</v>
      </c>
    </row>
    <row r="13" spans="1:22" ht="15.95">
      <c r="A13" s="20"/>
      <c r="B13" s="20"/>
      <c r="C13" s="20" t="s">
        <v>82</v>
      </c>
      <c r="G13" s="3" t="s">
        <v>6</v>
      </c>
      <c r="K13" s="8" t="b">
        <v>0</v>
      </c>
      <c r="L13" s="10"/>
      <c r="N13" s="8" t="b">
        <v>0</v>
      </c>
      <c r="O13" s="10">
        <v>45845</v>
      </c>
      <c r="Q13" s="8" t="b">
        <v>1</v>
      </c>
      <c r="R13" s="10"/>
      <c r="T13" s="8" t="b">
        <v>0</v>
      </c>
    </row>
    <row r="14" spans="1:22" ht="15.95">
      <c r="A14" s="20"/>
      <c r="B14" s="20"/>
      <c r="C14" s="20" t="s">
        <v>206</v>
      </c>
      <c r="G14" s="3" t="s">
        <v>6</v>
      </c>
      <c r="K14" s="8" t="b">
        <v>0</v>
      </c>
      <c r="L14" s="10"/>
      <c r="N14" s="8" t="b">
        <v>0</v>
      </c>
      <c r="O14" s="10">
        <v>45845</v>
      </c>
      <c r="Q14" s="8" t="b">
        <v>1</v>
      </c>
      <c r="R14" s="10"/>
      <c r="T14" s="8" t="b">
        <v>0</v>
      </c>
    </row>
    <row r="15" spans="1:22" ht="15.95">
      <c r="A15" s="20"/>
      <c r="B15" s="20"/>
      <c r="C15" s="20" t="s">
        <v>28</v>
      </c>
      <c r="G15" s="3" t="s">
        <v>6</v>
      </c>
      <c r="K15" s="8" t="b">
        <v>0</v>
      </c>
      <c r="L15" s="10"/>
      <c r="N15" s="8" t="b">
        <v>0</v>
      </c>
      <c r="O15" s="10">
        <v>45845</v>
      </c>
      <c r="Q15" s="8" t="b">
        <v>1</v>
      </c>
      <c r="R15" s="10"/>
      <c r="T15" s="8" t="b">
        <v>0</v>
      </c>
    </row>
    <row r="16" spans="1:22" ht="15.95">
      <c r="A16" s="20"/>
      <c r="B16" s="20"/>
      <c r="C16" s="20" t="s">
        <v>564</v>
      </c>
      <c r="G16" s="3" t="s">
        <v>6</v>
      </c>
      <c r="K16" s="8" t="b">
        <v>0</v>
      </c>
      <c r="L16" s="10"/>
      <c r="N16" s="8" t="b">
        <v>0</v>
      </c>
      <c r="O16" s="10">
        <v>45845</v>
      </c>
      <c r="Q16" s="8" t="b">
        <v>1</v>
      </c>
      <c r="R16" s="10"/>
      <c r="T16" s="8" t="b">
        <v>0</v>
      </c>
    </row>
    <row r="17" spans="1:20" ht="15.95">
      <c r="A17" s="20"/>
      <c r="B17" s="20"/>
      <c r="C17" s="20" t="s">
        <v>223</v>
      </c>
      <c r="G17" s="3" t="s">
        <v>6</v>
      </c>
      <c r="I17" s="10"/>
      <c r="K17" s="8" t="b">
        <v>0</v>
      </c>
      <c r="L17" s="10"/>
      <c r="N17" s="8" t="b">
        <v>0</v>
      </c>
      <c r="O17" s="10">
        <v>45845</v>
      </c>
      <c r="Q17" s="8" t="b">
        <v>1</v>
      </c>
      <c r="R17" s="10"/>
      <c r="T17" s="8" t="b">
        <v>0</v>
      </c>
    </row>
    <row r="18" spans="1:20" ht="15.95">
      <c r="A18" s="20"/>
      <c r="B18" s="20"/>
      <c r="C18" s="20" t="s">
        <v>938</v>
      </c>
      <c r="I18" s="10"/>
      <c r="K18" s="8" t="b">
        <v>0</v>
      </c>
      <c r="L18" s="10"/>
      <c r="N18" s="8" t="b">
        <v>0</v>
      </c>
      <c r="O18" s="10"/>
      <c r="Q18" s="8" t="b">
        <v>0</v>
      </c>
      <c r="R18" s="10"/>
      <c r="T18" s="8" t="b">
        <v>0</v>
      </c>
    </row>
    <row r="19" spans="1:20" ht="15.95">
      <c r="A19" s="20"/>
      <c r="B19" s="20"/>
      <c r="C19" s="20" t="s">
        <v>810</v>
      </c>
      <c r="I19" s="10"/>
      <c r="K19" s="8" t="b">
        <v>0</v>
      </c>
      <c r="L19" s="10"/>
      <c r="N19" s="8" t="b">
        <v>0</v>
      </c>
      <c r="O19" s="10"/>
      <c r="Q19" s="8" t="b">
        <v>0</v>
      </c>
      <c r="R19" s="10"/>
      <c r="T19" s="8" t="b">
        <v>0</v>
      </c>
    </row>
    <row r="20" spans="1:20" ht="15.95">
      <c r="A20" s="20"/>
      <c r="B20" s="20"/>
      <c r="C20" s="20" t="s">
        <v>939</v>
      </c>
      <c r="E20" s="13">
        <v>3000</v>
      </c>
      <c r="F20" s="13">
        <f>2035.98+330</f>
        <v>2365.98</v>
      </c>
      <c r="G20" s="3" t="s">
        <v>745</v>
      </c>
      <c r="I20" s="10"/>
      <c r="K20" s="8" t="b">
        <v>0</v>
      </c>
      <c r="L20" s="10"/>
      <c r="N20" s="8" t="b">
        <v>1</v>
      </c>
      <c r="O20" s="10"/>
      <c r="Q20" s="8" t="b">
        <v>0</v>
      </c>
      <c r="R20" s="10"/>
      <c r="T20" s="8" t="b">
        <v>0</v>
      </c>
    </row>
    <row r="21" spans="1:20" ht="15.95">
      <c r="A21" s="20"/>
      <c r="B21" s="20"/>
      <c r="C21" s="20" t="s">
        <v>35</v>
      </c>
      <c r="G21" s="3" t="s">
        <v>89</v>
      </c>
      <c r="I21" s="10"/>
      <c r="K21" s="8" t="b">
        <v>0</v>
      </c>
      <c r="L21" s="10"/>
      <c r="N21" s="8" t="b">
        <v>1</v>
      </c>
      <c r="O21" s="10">
        <v>45845</v>
      </c>
      <c r="Q21" s="8" t="b">
        <v>1</v>
      </c>
      <c r="R21" s="10"/>
      <c r="T21" s="8" t="b">
        <v>0</v>
      </c>
    </row>
    <row r="22" spans="1:20" ht="15.95">
      <c r="A22" s="20"/>
      <c r="B22" s="20"/>
      <c r="C22" s="20" t="s">
        <v>87</v>
      </c>
      <c r="I22" s="10"/>
      <c r="K22" s="8" t="b">
        <v>0</v>
      </c>
      <c r="L22" s="10"/>
      <c r="N22" s="8" t="b">
        <v>0</v>
      </c>
      <c r="O22" s="10"/>
      <c r="Q22" s="8" t="b">
        <v>0</v>
      </c>
      <c r="R22" s="10"/>
      <c r="T22" s="8" t="b">
        <v>0</v>
      </c>
    </row>
    <row r="23" spans="1:20" ht="15.95">
      <c r="A23" s="20"/>
      <c r="B23" s="20"/>
      <c r="C23" s="20" t="s">
        <v>940</v>
      </c>
      <c r="F23" s="13">
        <v>76.599999999999994</v>
      </c>
      <c r="G23" s="3" t="s">
        <v>8</v>
      </c>
      <c r="I23" s="10"/>
      <c r="K23" s="8" t="b">
        <v>0</v>
      </c>
      <c r="L23" s="10"/>
      <c r="N23" s="8" t="b">
        <v>0</v>
      </c>
      <c r="O23" s="10">
        <v>45877</v>
      </c>
      <c r="Q23" s="8" t="b">
        <v>1</v>
      </c>
      <c r="R23" s="10"/>
      <c r="T23" s="8" t="b">
        <v>0</v>
      </c>
    </row>
    <row r="24" spans="1:20" ht="15.95">
      <c r="A24" s="20"/>
      <c r="B24" s="20"/>
      <c r="C24" s="20" t="s">
        <v>941</v>
      </c>
      <c r="F24" s="13">
        <v>46.42</v>
      </c>
      <c r="G24" s="3" t="s">
        <v>12</v>
      </c>
      <c r="I24" s="10"/>
      <c r="K24" s="8" t="b">
        <v>0</v>
      </c>
      <c r="L24" s="10"/>
      <c r="N24" s="8" t="b">
        <v>0</v>
      </c>
      <c r="O24" s="10">
        <v>45845</v>
      </c>
      <c r="Q24" s="8" t="b">
        <v>1</v>
      </c>
      <c r="R24" s="10"/>
      <c r="T24" s="8" t="b">
        <v>0</v>
      </c>
    </row>
    <row r="25" spans="1:20" ht="15.95">
      <c r="A25" s="20"/>
      <c r="B25" s="20"/>
      <c r="C25" s="20" t="s">
        <v>742</v>
      </c>
      <c r="F25" s="13">
        <v>246.79</v>
      </c>
      <c r="G25" s="3" t="s">
        <v>12</v>
      </c>
      <c r="I25" s="10"/>
      <c r="K25" s="8" t="b">
        <v>0</v>
      </c>
      <c r="L25" s="10"/>
      <c r="N25" s="8" t="b">
        <v>0</v>
      </c>
      <c r="O25" s="10">
        <v>45845</v>
      </c>
      <c r="Q25" s="8" t="b">
        <v>1</v>
      </c>
      <c r="R25" s="10"/>
      <c r="T25" s="8" t="b">
        <v>0</v>
      </c>
    </row>
    <row r="26" spans="1:20" ht="15.95">
      <c r="A26" s="20"/>
      <c r="B26" s="20"/>
      <c r="C26" s="20"/>
      <c r="I26" s="10"/>
      <c r="O26" s="10"/>
      <c r="Q26" s="1"/>
      <c r="T26" s="1"/>
    </row>
    <row r="27" spans="1:20" ht="15.95">
      <c r="A27" s="20" t="s">
        <v>324</v>
      </c>
      <c r="B27" s="20"/>
      <c r="C27" s="20" t="s">
        <v>94</v>
      </c>
      <c r="E27" s="13">
        <v>1000</v>
      </c>
      <c r="F27" s="13">
        <v>488.75</v>
      </c>
      <c r="G27" s="3" t="s">
        <v>381</v>
      </c>
      <c r="K27" s="8" t="b">
        <v>0</v>
      </c>
      <c r="L27" s="10"/>
      <c r="N27" s="8" t="b">
        <v>0</v>
      </c>
      <c r="O27" s="10">
        <v>45883</v>
      </c>
      <c r="Q27" s="8" t="b">
        <v>1</v>
      </c>
      <c r="T27" s="8" t="b">
        <v>0</v>
      </c>
    </row>
    <row r="28" spans="1:20" ht="15.95">
      <c r="A28" s="20"/>
      <c r="B28" s="20"/>
      <c r="C28" s="20" t="s">
        <v>942</v>
      </c>
      <c r="G28" s="3" t="s">
        <v>381</v>
      </c>
      <c r="K28" s="8" t="b">
        <v>0</v>
      </c>
      <c r="L28" s="10"/>
      <c r="N28" s="8" t="b">
        <v>0</v>
      </c>
      <c r="O28" s="10">
        <v>45883</v>
      </c>
      <c r="Q28" s="8" t="b">
        <v>1</v>
      </c>
      <c r="T28" s="8" t="b">
        <v>0</v>
      </c>
    </row>
    <row r="29" spans="1:20" ht="15.95">
      <c r="A29" s="20"/>
      <c r="B29" s="20"/>
      <c r="C29" s="20" t="s">
        <v>943</v>
      </c>
      <c r="F29" s="13">
        <v>102.83</v>
      </c>
      <c r="G29" s="3" t="s">
        <v>12</v>
      </c>
      <c r="I29" s="10"/>
      <c r="K29" s="8" t="b">
        <v>0</v>
      </c>
      <c r="L29" s="10"/>
      <c r="N29" s="8" t="b">
        <v>0</v>
      </c>
      <c r="O29" s="10">
        <v>45877</v>
      </c>
      <c r="Q29" s="8" t="b">
        <v>1</v>
      </c>
      <c r="R29" s="10"/>
      <c r="T29" s="8" t="b">
        <v>0</v>
      </c>
    </row>
    <row r="30" spans="1:20" ht="15.95">
      <c r="A30" s="20"/>
      <c r="B30" s="20"/>
      <c r="C30" s="20" t="s">
        <v>944</v>
      </c>
      <c r="K30" s="1"/>
      <c r="N30" s="1"/>
    </row>
    <row r="31" spans="1:20" ht="15.95">
      <c r="A31" s="20"/>
      <c r="B31" s="20"/>
      <c r="C31" s="20" t="s">
        <v>945</v>
      </c>
      <c r="K31" s="18"/>
      <c r="N31" s="18"/>
      <c r="Q31" s="18"/>
      <c r="T31" s="18"/>
    </row>
    <row r="32" spans="1:20" ht="15.95">
      <c r="A32" s="20"/>
      <c r="B32" s="20"/>
      <c r="C32" s="20"/>
      <c r="K32" s="18"/>
      <c r="N32" s="18"/>
      <c r="Q32" s="18"/>
      <c r="T32" s="18"/>
    </row>
    <row r="33" spans="1:21" ht="15.95">
      <c r="A33" s="20" t="s">
        <v>407</v>
      </c>
      <c r="B33" s="20"/>
      <c r="C33" s="20" t="s">
        <v>576</v>
      </c>
      <c r="E33" s="13">
        <v>3100</v>
      </c>
      <c r="F33" s="13">
        <v>2738.15</v>
      </c>
      <c r="G33" s="3" t="s">
        <v>197</v>
      </c>
      <c r="K33" s="8" t="b">
        <v>0</v>
      </c>
      <c r="L33" s="10"/>
      <c r="N33" s="8" t="b">
        <v>1</v>
      </c>
      <c r="O33" s="10">
        <v>45842</v>
      </c>
      <c r="Q33" s="8" t="b">
        <v>1</v>
      </c>
      <c r="T33" s="8" t="b">
        <v>0</v>
      </c>
    </row>
    <row r="34" spans="1:21" ht="15.95">
      <c r="A34" s="20" t="s">
        <v>411</v>
      </c>
      <c r="B34" s="20"/>
      <c r="C34" s="20" t="s">
        <v>946</v>
      </c>
      <c r="F34" s="13">
        <v>1242</v>
      </c>
      <c r="G34" s="3" t="s">
        <v>413</v>
      </c>
      <c r="K34" s="8" t="b">
        <v>0</v>
      </c>
      <c r="L34" s="10"/>
      <c r="N34" s="8" t="b">
        <v>1</v>
      </c>
      <c r="O34" s="10">
        <v>45873</v>
      </c>
      <c r="Q34" s="8" t="b">
        <v>1</v>
      </c>
      <c r="T34" s="8" t="b">
        <v>0</v>
      </c>
    </row>
    <row r="35" spans="1:21" ht="15.95">
      <c r="A35" s="20"/>
      <c r="B35" s="20"/>
      <c r="C35" s="20" t="s">
        <v>947</v>
      </c>
      <c r="E35" s="13">
        <v>250</v>
      </c>
      <c r="K35" s="1"/>
      <c r="L35" s="10"/>
      <c r="N35" s="1"/>
      <c r="Q35" s="1"/>
      <c r="T35" s="1"/>
    </row>
    <row r="36" spans="1:21" ht="15.95">
      <c r="A36" s="20"/>
      <c r="B36" s="20"/>
      <c r="C36" s="20"/>
      <c r="K36" s="1"/>
      <c r="L36" s="10"/>
      <c r="N36" s="1"/>
      <c r="Q36" s="1"/>
      <c r="T36" s="1"/>
    </row>
    <row r="37" spans="1:21" ht="15.95">
      <c r="A37" s="20" t="s">
        <v>543</v>
      </c>
      <c r="B37" s="20"/>
      <c r="C37" s="20" t="s">
        <v>869</v>
      </c>
      <c r="E37" s="13">
        <v>1800</v>
      </c>
      <c r="F37" s="13">
        <v>1655.56</v>
      </c>
      <c r="G37" s="3" t="s">
        <v>138</v>
      </c>
      <c r="K37" s="8" t="b">
        <v>0</v>
      </c>
      <c r="L37" s="10"/>
      <c r="N37" s="8" t="b">
        <v>0</v>
      </c>
      <c r="O37" s="10">
        <v>45868</v>
      </c>
      <c r="Q37" s="8" t="b">
        <v>1</v>
      </c>
      <c r="T37" s="8" t="b">
        <v>0</v>
      </c>
    </row>
    <row r="38" spans="1:21" ht="15.95">
      <c r="A38" s="20"/>
      <c r="B38" s="20"/>
      <c r="C38" s="20" t="s">
        <v>868</v>
      </c>
      <c r="E38" s="13">
        <v>150</v>
      </c>
      <c r="G38" s="3" t="s">
        <v>138</v>
      </c>
      <c r="K38" s="8" t="b">
        <v>0</v>
      </c>
      <c r="L38" s="10"/>
      <c r="N38" s="8" t="b">
        <v>0</v>
      </c>
      <c r="O38" s="10">
        <v>45868</v>
      </c>
      <c r="Q38" s="8" t="b">
        <v>1</v>
      </c>
      <c r="T38" s="8" t="b">
        <v>0</v>
      </c>
    </row>
    <row r="39" spans="1:21" ht="15.95">
      <c r="A39" s="20"/>
      <c r="B39" s="20"/>
      <c r="C39" s="20" t="s">
        <v>948</v>
      </c>
      <c r="E39" s="13">
        <v>1200</v>
      </c>
      <c r="G39" s="3" t="s">
        <v>138</v>
      </c>
      <c r="K39" s="8" t="b">
        <v>0</v>
      </c>
      <c r="L39" s="10"/>
      <c r="N39" s="8" t="b">
        <v>0</v>
      </c>
      <c r="O39" s="10">
        <v>45868</v>
      </c>
      <c r="Q39" s="8" t="b">
        <v>1</v>
      </c>
      <c r="T39" s="8" t="b">
        <v>0</v>
      </c>
    </row>
    <row r="40" spans="1:21" ht="15.95">
      <c r="A40" s="20"/>
      <c r="B40" s="20"/>
      <c r="C40" s="20" t="s">
        <v>949</v>
      </c>
      <c r="G40" s="3" t="s">
        <v>138</v>
      </c>
      <c r="K40" s="8" t="b">
        <v>0</v>
      </c>
      <c r="L40" s="10"/>
      <c r="N40" s="8" t="b">
        <v>0</v>
      </c>
      <c r="O40" s="10">
        <v>45868</v>
      </c>
      <c r="Q40" s="8" t="b">
        <v>1</v>
      </c>
      <c r="T40" s="8" t="b">
        <v>0</v>
      </c>
    </row>
    <row r="41" spans="1:21" ht="15.95">
      <c r="A41" s="20"/>
      <c r="B41" s="20"/>
      <c r="C41" s="20" t="s">
        <v>950</v>
      </c>
      <c r="G41" s="3" t="s">
        <v>549</v>
      </c>
      <c r="K41" s="8" t="b">
        <v>0</v>
      </c>
      <c r="L41" s="10"/>
      <c r="N41" s="8" t="b">
        <v>0</v>
      </c>
      <c r="Q41" s="8" t="b">
        <v>0</v>
      </c>
      <c r="T41" s="8" t="b">
        <v>0</v>
      </c>
    </row>
    <row r="42" spans="1:21" ht="15.95">
      <c r="A42" s="20"/>
      <c r="B42" s="20"/>
      <c r="C42" s="20" t="s">
        <v>951</v>
      </c>
      <c r="G42" s="3" t="s">
        <v>549</v>
      </c>
      <c r="K42" s="8" t="b">
        <v>0</v>
      </c>
      <c r="L42" s="10"/>
      <c r="N42" s="8" t="b">
        <v>0</v>
      </c>
      <c r="Q42" s="8" t="b">
        <v>0</v>
      </c>
      <c r="T42" s="8" t="b">
        <v>0</v>
      </c>
    </row>
    <row r="43" spans="1:21" ht="15.95">
      <c r="A43" s="20"/>
      <c r="B43" s="20"/>
      <c r="C43" s="20"/>
      <c r="E43" s="33"/>
      <c r="K43" s="1"/>
      <c r="L43" s="10"/>
      <c r="N43" s="1"/>
      <c r="Q43" s="1"/>
      <c r="T43" s="1"/>
    </row>
    <row r="44" spans="1:21" ht="15.95">
      <c r="A44" s="20"/>
      <c r="B44" s="20"/>
      <c r="C44" s="20"/>
      <c r="K44" s="1"/>
      <c r="L44" s="10"/>
      <c r="N44" s="1"/>
      <c r="Q44" s="1"/>
      <c r="T44" s="1"/>
    </row>
    <row r="45" spans="1:21" ht="15.95">
      <c r="A45" s="20" t="s">
        <v>377</v>
      </c>
      <c r="B45" s="20"/>
      <c r="C45" s="20" t="s">
        <v>952</v>
      </c>
      <c r="G45" s="22"/>
      <c r="K45" s="8" t="b">
        <v>0</v>
      </c>
      <c r="L45" s="10"/>
      <c r="N45" s="8" t="b">
        <v>0</v>
      </c>
      <c r="O45" s="10"/>
      <c r="Q45" s="8" t="b">
        <v>0</v>
      </c>
      <c r="T45" s="8" t="b">
        <v>0</v>
      </c>
    </row>
    <row r="46" spans="1:21" ht="15.95">
      <c r="A46" s="20"/>
      <c r="B46" s="20"/>
      <c r="C46" s="20"/>
      <c r="K46" s="8" t="b">
        <v>0</v>
      </c>
      <c r="L46" s="10"/>
      <c r="N46" s="8" t="b">
        <v>0</v>
      </c>
      <c r="O46" s="10"/>
      <c r="Q46" s="8" t="b">
        <v>0</v>
      </c>
      <c r="T46" s="8" t="b">
        <v>0</v>
      </c>
    </row>
    <row r="47" spans="1:21" s="5" customFormat="1" ht="15.95">
      <c r="B47" s="4"/>
      <c r="E47" s="11"/>
      <c r="F47" s="11"/>
      <c r="J47" s="3"/>
      <c r="K47" s="8" t="b">
        <v>0</v>
      </c>
      <c r="L47" s="10"/>
      <c r="M47" s="3"/>
      <c r="N47" s="8" t="b">
        <v>0</v>
      </c>
      <c r="O47" s="3"/>
      <c r="P47" s="3"/>
      <c r="Q47" s="8" t="b">
        <v>0</v>
      </c>
      <c r="R47" s="3"/>
      <c r="S47" s="3"/>
      <c r="T47" s="8" t="b">
        <v>0</v>
      </c>
      <c r="U47" s="3"/>
    </row>
    <row r="48" spans="1:21" s="5" customFormat="1" ht="15.95">
      <c r="B48" s="1"/>
      <c r="C48" s="3"/>
      <c r="E48" s="11">
        <f>SUM(E2:E47)</f>
        <v>12750</v>
      </c>
      <c r="F48" s="11">
        <f>SUM(F2:F47)</f>
        <v>13808.720000000001</v>
      </c>
      <c r="J48" s="3"/>
      <c r="K48" s="1"/>
      <c r="L48" s="10"/>
      <c r="M48" s="3"/>
      <c r="N48" s="1"/>
      <c r="O48" s="3"/>
      <c r="P48" s="3"/>
      <c r="Q48" s="1"/>
      <c r="R48" s="3"/>
      <c r="S48" s="3"/>
      <c r="T48" s="1"/>
      <c r="U48" s="3"/>
    </row>
    <row r="49" spans="2:20" s="5" customFormat="1" ht="15.95">
      <c r="B49" s="1"/>
      <c r="C49" s="3"/>
      <c r="E49" s="11"/>
      <c r="F49" s="11"/>
      <c r="J49" s="3"/>
      <c r="K49" s="1"/>
      <c r="L49" s="3"/>
      <c r="N49" s="1"/>
      <c r="Q49" s="1"/>
      <c r="T49" s="1"/>
    </row>
    <row r="50" spans="2:20" s="5" customFormat="1" ht="15.95">
      <c r="B50" s="1"/>
      <c r="C50" s="3" t="s">
        <v>953</v>
      </c>
      <c r="E50" s="11">
        <v>2647</v>
      </c>
      <c r="F50" s="11"/>
      <c r="J50" s="3"/>
      <c r="K50" s="1"/>
      <c r="L50" s="3"/>
      <c r="N50" s="1"/>
      <c r="Q50" s="1"/>
      <c r="T50" s="1"/>
    </row>
    <row r="51" spans="2:20" s="5" customFormat="1" ht="15.95">
      <c r="B51" s="1"/>
      <c r="C51" s="3"/>
      <c r="E51" s="11"/>
      <c r="F51" s="11"/>
      <c r="J51" s="3"/>
      <c r="K51" s="1"/>
      <c r="L51" s="3"/>
      <c r="N51" s="1"/>
      <c r="Q51" s="1"/>
      <c r="T51" s="1"/>
    </row>
    <row r="52" spans="2:20" ht="15.95">
      <c r="B52" s="1"/>
      <c r="K52" s="1"/>
      <c r="N52" s="1"/>
      <c r="Q52" s="1"/>
      <c r="T52" s="1"/>
    </row>
    <row r="53" spans="2:20" ht="15.95">
      <c r="B53" s="1"/>
      <c r="K53" s="1"/>
      <c r="N53" s="1"/>
      <c r="Q53" s="1"/>
      <c r="T53" s="1"/>
    </row>
    <row r="54" spans="2:20" ht="15.95">
      <c r="B54" s="1"/>
      <c r="K54" s="1"/>
      <c r="N54" s="1"/>
      <c r="Q54" s="1"/>
      <c r="T54" s="1"/>
    </row>
    <row r="55" spans="2:20" ht="15.95">
      <c r="B55" s="1"/>
      <c r="K55" s="1"/>
      <c r="N55" s="1"/>
      <c r="Q55" s="1"/>
      <c r="T55" s="1"/>
    </row>
    <row r="56" spans="2:20" ht="15.95">
      <c r="B56" s="1"/>
      <c r="K56" s="1"/>
      <c r="N56" s="1"/>
      <c r="Q56" s="1"/>
      <c r="T56" s="1"/>
    </row>
    <row r="57" spans="2:20" ht="15.95">
      <c r="B57" s="18"/>
      <c r="K57" s="1"/>
      <c r="N57" s="1"/>
      <c r="Q57" s="1"/>
      <c r="T57" s="1"/>
    </row>
    <row r="58" spans="2:20" ht="15.95">
      <c r="B58" s="1"/>
      <c r="J58" s="5"/>
      <c r="K58" s="1"/>
      <c r="L58" s="5"/>
      <c r="N58" s="1"/>
      <c r="Q58" s="1"/>
      <c r="T58" s="1"/>
    </row>
    <row r="59" spans="2:20" ht="15.95">
      <c r="B59" s="1"/>
      <c r="J59" s="5"/>
      <c r="K59" s="1"/>
      <c r="L59" s="5"/>
      <c r="N59" s="1"/>
      <c r="Q59" s="1"/>
      <c r="T59" s="1"/>
    </row>
    <row r="60" spans="2:20" ht="15.95">
      <c r="B60" s="1"/>
      <c r="J60" s="5"/>
      <c r="K60" s="1"/>
      <c r="L60" s="5"/>
      <c r="N60" s="1"/>
      <c r="Q60" s="1"/>
      <c r="T60" s="1"/>
    </row>
    <row r="61" spans="2:20" ht="15.95">
      <c r="B61" s="1"/>
      <c r="J61" s="5"/>
      <c r="K61" s="1"/>
      <c r="L61" s="5"/>
      <c r="N61" s="1"/>
      <c r="Q61" s="1"/>
      <c r="T61" s="1"/>
    </row>
    <row r="62" spans="2:20" ht="15.95">
      <c r="B62" s="1"/>
      <c r="K62" s="1"/>
      <c r="N62" s="1"/>
      <c r="Q62" s="1"/>
      <c r="T62" s="1"/>
    </row>
    <row r="63" spans="2:20" ht="15.95">
      <c r="B63" s="1"/>
      <c r="K63" s="2"/>
      <c r="N63" s="2"/>
      <c r="Q63" s="2"/>
      <c r="T63" s="2"/>
    </row>
    <row r="64" spans="2:20" s="5" customFormat="1" ht="15.95">
      <c r="B64" s="4"/>
      <c r="E64" s="11"/>
      <c r="F64" s="11"/>
      <c r="K64" s="14"/>
      <c r="N64" s="14"/>
      <c r="Q64" s="14"/>
      <c r="T64" s="14"/>
    </row>
    <row r="65" spans="2:20" s="5" customFormat="1" ht="15.95">
      <c r="B65" s="4"/>
      <c r="E65" s="11"/>
      <c r="F65" s="11"/>
      <c r="J65" s="3"/>
      <c r="K65" s="2"/>
      <c r="L65" s="3"/>
      <c r="N65" s="2"/>
      <c r="Q65" s="2"/>
      <c r="T65" s="2"/>
    </row>
    <row r="66" spans="2:20" s="5" customFormat="1" ht="15.95">
      <c r="B66" s="1"/>
      <c r="C66" s="3"/>
      <c r="E66" s="11"/>
      <c r="F66" s="11"/>
      <c r="K66" s="4"/>
      <c r="N66" s="4"/>
      <c r="Q66" s="4"/>
      <c r="T66" s="4"/>
    </row>
    <row r="67" spans="2:20" s="5" customFormat="1" ht="15.95">
      <c r="B67" s="1"/>
      <c r="C67" s="3"/>
      <c r="E67" s="11"/>
      <c r="F67" s="11"/>
      <c r="K67" s="4"/>
      <c r="N67" s="4"/>
      <c r="Q67" s="4"/>
      <c r="T67" s="4"/>
    </row>
    <row r="68" spans="2:20" ht="15.95">
      <c r="B68" s="1"/>
      <c r="J68" s="5"/>
      <c r="K68" s="4"/>
      <c r="L68" s="5"/>
      <c r="N68" s="4"/>
      <c r="Q68" s="4"/>
      <c r="T68" s="4"/>
    </row>
    <row r="69" spans="2:20" ht="15.95">
      <c r="B69" s="1"/>
      <c r="J69" s="5"/>
      <c r="K69" s="1"/>
      <c r="L69" s="5"/>
      <c r="N69" s="1"/>
      <c r="Q69" s="1"/>
      <c r="T69" s="1"/>
    </row>
    <row r="70" spans="2:20" ht="15.95">
      <c r="B70" s="1"/>
      <c r="J70" s="5"/>
      <c r="K70" s="1"/>
      <c r="L70" s="5"/>
      <c r="N70" s="1"/>
      <c r="Q70" s="1"/>
      <c r="T70" s="1"/>
    </row>
    <row r="71" spans="2:20" ht="15.95">
      <c r="B71" s="1"/>
      <c r="K71" s="1"/>
      <c r="N71" s="1"/>
      <c r="Q71" s="1"/>
      <c r="T71" s="1"/>
    </row>
    <row r="72" spans="2:20" ht="15.95">
      <c r="B72" s="1"/>
      <c r="K72" s="1"/>
      <c r="N72" s="1"/>
      <c r="Q72" s="1"/>
      <c r="T72" s="1"/>
    </row>
    <row r="73" spans="2:20" ht="15.95">
      <c r="B73" s="1"/>
      <c r="K73" s="1"/>
      <c r="N73" s="1"/>
      <c r="Q73" s="1"/>
      <c r="T73" s="1"/>
    </row>
    <row r="74" spans="2:20" ht="15.95">
      <c r="B74" s="1"/>
      <c r="K74" s="1"/>
      <c r="N74" s="1"/>
      <c r="Q74" s="1"/>
      <c r="T74" s="1"/>
    </row>
    <row r="75" spans="2:20" ht="15.95">
      <c r="B75" s="1"/>
      <c r="K75" s="1"/>
      <c r="N75" s="1"/>
      <c r="Q75" s="1"/>
      <c r="T75" s="1"/>
    </row>
    <row r="76" spans="2:20" ht="15.95">
      <c r="B76" s="1"/>
      <c r="K76" s="1"/>
      <c r="N76" s="1"/>
      <c r="Q76" s="1"/>
      <c r="T76" s="1"/>
    </row>
    <row r="77" spans="2:20" ht="15.95">
      <c r="B77" s="1"/>
      <c r="K77" s="1"/>
      <c r="N77" s="1"/>
      <c r="Q77" s="1"/>
      <c r="T77" s="1"/>
    </row>
    <row r="78" spans="2:20" ht="15.95">
      <c r="B78" s="1"/>
      <c r="K78" s="1"/>
      <c r="N78" s="1"/>
      <c r="Q78" s="1"/>
      <c r="T78" s="1"/>
    </row>
    <row r="79" spans="2:20" ht="15.95">
      <c r="K79" s="1"/>
      <c r="N79" s="1"/>
      <c r="Q79" s="1"/>
      <c r="T79" s="1"/>
    </row>
    <row r="80" spans="2:20" ht="15.95">
      <c r="K80" s="1"/>
      <c r="N80" s="1"/>
      <c r="Q80" s="1"/>
      <c r="T80" s="1"/>
    </row>
    <row r="81" spans="11:20" ht="15.95">
      <c r="K81" s="1"/>
      <c r="N81" s="1"/>
      <c r="Q81" s="1"/>
      <c r="T81" s="1"/>
    </row>
  </sheetData>
  <pageMargins left="0.7" right="0.7" top="0.75" bottom="0.75" header="0.3" footer="0.3"/>
  <pageSetup orientation="portrait" horizontalDpi="203" verticalDpi="20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9F1B-516D-47BC-9D4D-4AB118FC917C}">
  <dimension ref="A1:Z83"/>
  <sheetViews>
    <sheetView workbookViewId="0">
      <pane ySplit="2" topLeftCell="A9" activePane="bottomLeft" state="frozen"/>
      <selection pane="bottomLeft" activeCell="Q9" sqref="Q9"/>
      <selection activeCell="C1" sqref="C1"/>
    </sheetView>
  </sheetViews>
  <sheetFormatPr defaultColWidth="8.85546875" defaultRowHeight="15.95"/>
  <cols>
    <col min="1" max="1" width="12.7109375" style="3" customWidth="1"/>
    <col min="2" max="2" width="8.85546875" style="3"/>
    <col min="3" max="3" width="27" style="3" customWidth="1"/>
    <col min="4" max="4" width="2.7109375" style="3" customWidth="1"/>
    <col min="5" max="5" width="18.140625" style="13" customWidth="1"/>
    <col min="6" max="6" width="1.85546875" style="13" customWidth="1"/>
    <col min="7" max="7" width="20" style="13" customWidth="1"/>
    <col min="8" max="8" width="2.7109375" style="3" customWidth="1"/>
    <col min="9" max="9" width="12.5703125" style="3" customWidth="1"/>
    <col min="10" max="10" width="2.42578125" style="3" customWidth="1"/>
    <col min="11" max="11" width="13.7109375" style="3" customWidth="1"/>
    <col min="12" max="12" width="2.42578125" style="3" customWidth="1"/>
    <col min="13" max="13" width="8.85546875" style="3"/>
    <col min="14" max="14" width="13.7109375" style="3" customWidth="1"/>
    <col min="15" max="15" width="2.7109375" style="3" customWidth="1"/>
    <col min="16" max="16" width="8.85546875" style="3"/>
    <col min="17" max="17" width="13.7109375" style="3" customWidth="1"/>
    <col min="18" max="18" width="2.7109375" style="3" customWidth="1"/>
    <col min="19" max="19" width="8.85546875" style="3"/>
    <col min="20" max="20" width="11.42578125" style="3" customWidth="1"/>
    <col min="21" max="21" width="2.140625" style="3" customWidth="1"/>
    <col min="22" max="22" width="8.85546875" style="3"/>
    <col min="23" max="23" width="11.42578125" style="3" customWidth="1"/>
    <col min="24" max="24" width="32.5703125" style="3" customWidth="1"/>
    <col min="25" max="25" width="21.42578125" style="3" customWidth="1"/>
    <col min="26" max="16384" width="8.85546875" style="3"/>
  </cols>
  <sheetData>
    <row r="1" spans="1:26" s="5" customFormat="1">
      <c r="A1" s="4" t="s">
        <v>954</v>
      </c>
      <c r="E1" s="11"/>
      <c r="F1" s="11"/>
      <c r="G1" s="11"/>
      <c r="M1" s="4"/>
      <c r="P1" s="4"/>
      <c r="S1" s="4"/>
      <c r="V1" s="4"/>
    </row>
    <row r="2" spans="1:26" s="5" customFormat="1" ht="47.65">
      <c r="B2" s="4"/>
      <c r="C2" s="5" t="s">
        <v>955</v>
      </c>
      <c r="E2" s="12" t="s">
        <v>67</v>
      </c>
      <c r="F2" s="12"/>
      <c r="G2" s="12" t="s">
        <v>68</v>
      </c>
      <c r="H2" s="6"/>
      <c r="I2" s="6" t="s">
        <v>5</v>
      </c>
      <c r="J2" s="6"/>
      <c r="K2" s="7" t="s">
        <v>591</v>
      </c>
      <c r="L2" s="6"/>
      <c r="M2" s="17"/>
      <c r="N2" s="7" t="s">
        <v>193</v>
      </c>
      <c r="P2" s="17"/>
      <c r="Q2" s="7" t="s">
        <v>69</v>
      </c>
      <c r="S2" s="17"/>
      <c r="T2" s="7" t="s">
        <v>70</v>
      </c>
      <c r="V2" s="17"/>
      <c r="W2" s="7" t="s">
        <v>71</v>
      </c>
      <c r="X2" s="6" t="s">
        <v>72</v>
      </c>
      <c r="Y2" s="5" t="s">
        <v>592</v>
      </c>
      <c r="Z2" s="5" t="s">
        <v>593</v>
      </c>
    </row>
    <row r="3" spans="1:26" s="5" customFormat="1">
      <c r="A3" s="4" t="s">
        <v>73</v>
      </c>
      <c r="E3" s="11"/>
      <c r="F3" s="11"/>
      <c r="G3" s="11"/>
    </row>
    <row r="4" spans="1:26">
      <c r="B4" s="1"/>
      <c r="M4" s="1"/>
      <c r="P4" s="1"/>
      <c r="S4" s="1"/>
      <c r="V4" s="1"/>
    </row>
    <row r="5" spans="1:26">
      <c r="A5" s="20"/>
      <c r="B5" s="20"/>
      <c r="C5" s="20" t="s">
        <v>956</v>
      </c>
      <c r="D5" s="20"/>
      <c r="E5" s="13">
        <v>250</v>
      </c>
      <c r="M5" s="1"/>
      <c r="P5" s="1"/>
      <c r="S5" s="1"/>
      <c r="V5" s="1"/>
    </row>
    <row r="6" spans="1:26">
      <c r="A6" s="20"/>
      <c r="B6" s="20"/>
      <c r="C6" s="20" t="s">
        <v>562</v>
      </c>
      <c r="D6" s="20"/>
      <c r="M6" s="8" t="b">
        <v>0</v>
      </c>
      <c r="P6" s="8" t="b">
        <v>0</v>
      </c>
      <c r="S6" s="8" t="b">
        <v>0</v>
      </c>
      <c r="V6" s="8" t="b">
        <v>0</v>
      </c>
    </row>
    <row r="7" spans="1:26">
      <c r="A7" s="20"/>
      <c r="B7" s="20"/>
      <c r="C7" s="20"/>
      <c r="D7" s="20"/>
      <c r="M7" s="8" t="b">
        <v>0</v>
      </c>
      <c r="N7" s="10"/>
      <c r="P7" s="8" t="b">
        <v>0</v>
      </c>
      <c r="Q7" s="10"/>
      <c r="S7" s="8" t="b">
        <v>0</v>
      </c>
      <c r="V7" s="8" t="b">
        <v>0</v>
      </c>
    </row>
    <row r="8" spans="1:26">
      <c r="A8" s="20"/>
      <c r="B8" s="20"/>
      <c r="C8" s="20"/>
      <c r="D8" s="20"/>
      <c r="M8" s="8" t="b">
        <v>0</v>
      </c>
      <c r="P8" s="8" t="b">
        <v>0</v>
      </c>
      <c r="S8" s="8" t="b">
        <v>0</v>
      </c>
      <c r="V8" s="8" t="b">
        <v>0</v>
      </c>
    </row>
    <row r="9" spans="1:26">
      <c r="A9" s="20"/>
      <c r="B9" s="20"/>
      <c r="C9" s="20"/>
      <c r="D9" s="20"/>
      <c r="M9" s="8" t="b">
        <v>0</v>
      </c>
      <c r="P9" s="8" t="b">
        <v>0</v>
      </c>
      <c r="S9" s="8" t="b">
        <v>0</v>
      </c>
      <c r="V9" s="8" t="b">
        <v>0</v>
      </c>
    </row>
    <row r="10" spans="1:26">
      <c r="A10" s="20"/>
      <c r="B10" s="20"/>
      <c r="C10" s="20"/>
      <c r="D10" s="20"/>
      <c r="M10" s="8" t="b">
        <v>0</v>
      </c>
      <c r="P10" s="8" t="b">
        <v>0</v>
      </c>
      <c r="Q10" s="10"/>
      <c r="S10" s="8" t="b">
        <v>0</v>
      </c>
      <c r="V10" s="8" t="b">
        <v>0</v>
      </c>
    </row>
    <row r="11" spans="1:26">
      <c r="A11" s="20" t="s">
        <v>354</v>
      </c>
      <c r="B11" s="20"/>
      <c r="C11" s="20" t="s">
        <v>957</v>
      </c>
      <c r="D11" s="20"/>
      <c r="E11" s="13">
        <v>1200</v>
      </c>
      <c r="G11" s="13">
        <v>3088.3</v>
      </c>
      <c r="I11" s="3" t="s">
        <v>8</v>
      </c>
      <c r="K11" s="10">
        <v>45806</v>
      </c>
      <c r="M11" s="8" t="b">
        <v>1</v>
      </c>
      <c r="N11" s="10">
        <v>45806</v>
      </c>
      <c r="P11" s="8" t="b">
        <v>1</v>
      </c>
      <c r="Q11" s="10">
        <v>45812</v>
      </c>
      <c r="S11" s="8" t="b">
        <v>1</v>
      </c>
      <c r="T11" s="10"/>
      <c r="V11" s="8" t="b">
        <v>0</v>
      </c>
    </row>
    <row r="12" spans="1:26" s="15" customFormat="1">
      <c r="A12" s="31"/>
      <c r="B12" s="31"/>
      <c r="C12" s="31" t="s">
        <v>958</v>
      </c>
      <c r="D12" s="31"/>
      <c r="E12" s="33"/>
      <c r="F12" s="33"/>
      <c r="G12" s="33"/>
      <c r="M12" s="34"/>
      <c r="N12" s="35"/>
      <c r="P12" s="34"/>
      <c r="Q12" s="35"/>
      <c r="S12" s="34"/>
      <c r="V12" s="34"/>
    </row>
    <row r="13" spans="1:26">
      <c r="A13" s="20"/>
      <c r="B13" s="20"/>
      <c r="C13" s="20" t="s">
        <v>959</v>
      </c>
      <c r="D13" s="20"/>
      <c r="I13" s="3" t="s">
        <v>8</v>
      </c>
      <c r="K13" s="10">
        <v>45806</v>
      </c>
      <c r="M13" s="8" t="b">
        <v>1</v>
      </c>
      <c r="N13" s="10">
        <v>45810</v>
      </c>
      <c r="P13" s="8" t="b">
        <v>1</v>
      </c>
      <c r="Q13" s="10">
        <v>45812</v>
      </c>
      <c r="S13" s="8" t="b">
        <v>1</v>
      </c>
      <c r="T13" s="10"/>
      <c r="V13" s="8" t="b">
        <v>0</v>
      </c>
    </row>
    <row r="14" spans="1:26">
      <c r="A14" s="20"/>
      <c r="B14" s="20"/>
      <c r="C14" s="20" t="s">
        <v>960</v>
      </c>
      <c r="D14" s="20"/>
      <c r="E14" s="13">
        <v>800</v>
      </c>
      <c r="I14" s="3" t="s">
        <v>8</v>
      </c>
      <c r="K14" s="10">
        <v>45806</v>
      </c>
      <c r="M14" s="8" t="b">
        <v>0</v>
      </c>
      <c r="N14" s="10">
        <v>45810</v>
      </c>
      <c r="P14" s="8" t="b">
        <v>1</v>
      </c>
      <c r="Q14" s="10">
        <v>45812</v>
      </c>
      <c r="S14" s="8" t="b">
        <v>1</v>
      </c>
      <c r="T14" s="10"/>
      <c r="V14" s="8" t="b">
        <v>0</v>
      </c>
    </row>
    <row r="15" spans="1:26">
      <c r="C15" s="3" t="s">
        <v>961</v>
      </c>
      <c r="E15" s="3"/>
      <c r="F15" s="3"/>
      <c r="G15" s="3"/>
      <c r="I15" s="3" t="s">
        <v>8</v>
      </c>
      <c r="K15" s="10">
        <v>45806</v>
      </c>
      <c r="M15" s="8" t="b">
        <v>0</v>
      </c>
      <c r="N15" s="10">
        <v>45810</v>
      </c>
      <c r="P15" s="8" t="b">
        <v>1</v>
      </c>
      <c r="Q15" s="10">
        <v>45812</v>
      </c>
      <c r="S15" s="8" t="b">
        <v>1</v>
      </c>
      <c r="T15" s="10"/>
      <c r="V15" s="8" t="b">
        <v>0</v>
      </c>
    </row>
    <row r="16" spans="1:26">
      <c r="A16" s="20"/>
      <c r="B16" s="20" t="s">
        <v>962</v>
      </c>
      <c r="C16" s="20" t="s">
        <v>963</v>
      </c>
      <c r="D16" s="20"/>
      <c r="I16" s="3" t="s">
        <v>8</v>
      </c>
      <c r="K16" s="10">
        <v>45806</v>
      </c>
      <c r="M16" s="8" t="b">
        <v>0</v>
      </c>
      <c r="N16" s="10">
        <v>45810</v>
      </c>
      <c r="P16" s="8" t="b">
        <v>1</v>
      </c>
      <c r="Q16" s="10">
        <v>45812</v>
      </c>
      <c r="S16" s="8" t="b">
        <v>1</v>
      </c>
      <c r="T16" s="10"/>
      <c r="V16" s="8" t="b">
        <v>0</v>
      </c>
    </row>
    <row r="17" spans="1:22">
      <c r="A17" s="20"/>
      <c r="B17" s="20"/>
      <c r="C17" s="20" t="s">
        <v>26</v>
      </c>
      <c r="D17" s="20"/>
      <c r="E17" s="13">
        <v>350</v>
      </c>
      <c r="G17" s="13">
        <v>1684.2</v>
      </c>
      <c r="I17" s="3" t="s">
        <v>6</v>
      </c>
      <c r="K17" s="10">
        <v>45806</v>
      </c>
      <c r="M17" s="8" t="b">
        <v>0</v>
      </c>
      <c r="N17" s="10">
        <v>45810</v>
      </c>
      <c r="P17" s="8" t="b">
        <v>1</v>
      </c>
      <c r="Q17" s="10">
        <v>45814</v>
      </c>
      <c r="S17" s="8" t="b">
        <v>1</v>
      </c>
      <c r="T17" s="10"/>
      <c r="V17" s="8" t="b">
        <v>0</v>
      </c>
    </row>
    <row r="18" spans="1:22">
      <c r="A18" s="20"/>
      <c r="B18" s="20"/>
      <c r="C18" s="20" t="s">
        <v>223</v>
      </c>
      <c r="D18" s="20"/>
      <c r="I18" s="3" t="s">
        <v>6</v>
      </c>
      <c r="K18" s="10">
        <v>45806</v>
      </c>
      <c r="M18" s="8" t="b">
        <v>0</v>
      </c>
      <c r="N18" s="10">
        <v>45810</v>
      </c>
      <c r="P18" s="8" t="b">
        <v>1</v>
      </c>
      <c r="Q18" s="10">
        <v>45814</v>
      </c>
      <c r="S18" s="8" t="b">
        <v>1</v>
      </c>
      <c r="T18" s="10"/>
      <c r="V18" s="8" t="b">
        <v>0</v>
      </c>
    </row>
    <row r="19" spans="1:22">
      <c r="A19" s="20"/>
      <c r="B19" s="20"/>
      <c r="C19" s="20" t="s">
        <v>964</v>
      </c>
      <c r="D19" s="20"/>
      <c r="I19" s="3" t="s">
        <v>6</v>
      </c>
      <c r="K19" s="10">
        <v>45806</v>
      </c>
      <c r="M19" s="8" t="b">
        <v>0</v>
      </c>
      <c r="N19" s="10">
        <v>45810</v>
      </c>
      <c r="P19" s="8" t="b">
        <v>1</v>
      </c>
      <c r="Q19" s="10">
        <v>45814</v>
      </c>
      <c r="S19" s="8" t="b">
        <v>1</v>
      </c>
      <c r="V19" s="8" t="b">
        <v>0</v>
      </c>
    </row>
    <row r="20" spans="1:22">
      <c r="A20" s="20"/>
      <c r="B20" s="20"/>
      <c r="C20" s="20" t="s">
        <v>965</v>
      </c>
      <c r="D20" s="20"/>
      <c r="E20" s="13">
        <v>350</v>
      </c>
      <c r="I20" s="3" t="s">
        <v>12</v>
      </c>
      <c r="K20" s="10">
        <v>45806</v>
      </c>
      <c r="M20" s="8" t="b">
        <v>0</v>
      </c>
      <c r="N20" s="10">
        <v>45810</v>
      </c>
      <c r="P20" s="8" t="b">
        <v>1</v>
      </c>
      <c r="Q20" s="10">
        <v>45812</v>
      </c>
      <c r="S20" s="8" t="b">
        <v>1</v>
      </c>
      <c r="T20" s="10"/>
      <c r="V20" s="8" t="b">
        <v>0</v>
      </c>
    </row>
    <row r="21" spans="1:22">
      <c r="A21" s="20"/>
      <c r="B21" s="20"/>
      <c r="C21" s="20" t="s">
        <v>749</v>
      </c>
      <c r="D21" s="20"/>
      <c r="E21" s="13">
        <v>150</v>
      </c>
      <c r="I21" s="3" t="s">
        <v>8</v>
      </c>
      <c r="K21" s="10">
        <v>45806</v>
      </c>
      <c r="M21" s="8" t="b">
        <v>0</v>
      </c>
      <c r="N21" s="10">
        <v>45810</v>
      </c>
      <c r="P21" s="8" t="b">
        <v>1</v>
      </c>
      <c r="Q21" s="10">
        <v>45812</v>
      </c>
      <c r="S21" s="8" t="b">
        <v>1</v>
      </c>
      <c r="T21" s="10"/>
      <c r="V21" s="8" t="b">
        <v>0</v>
      </c>
    </row>
    <row r="22" spans="1:22">
      <c r="A22" s="20"/>
      <c r="B22" s="20"/>
      <c r="C22" s="20" t="s">
        <v>94</v>
      </c>
      <c r="D22" s="20"/>
      <c r="E22" s="13">
        <v>150</v>
      </c>
      <c r="I22" s="3" t="s">
        <v>8</v>
      </c>
      <c r="K22" s="10">
        <v>45806</v>
      </c>
      <c r="M22" s="8" t="b">
        <v>0</v>
      </c>
      <c r="N22" s="10">
        <v>45810</v>
      </c>
      <c r="P22" s="8" t="b">
        <v>1</v>
      </c>
      <c r="Q22" s="10">
        <v>45812</v>
      </c>
      <c r="S22" s="8" t="b">
        <v>1</v>
      </c>
      <c r="V22" s="8" t="b">
        <v>0</v>
      </c>
    </row>
    <row r="23" spans="1:22">
      <c r="B23" s="20"/>
      <c r="C23" s="20" t="s">
        <v>966</v>
      </c>
      <c r="D23" s="21"/>
      <c r="E23" s="13">
        <v>2400</v>
      </c>
      <c r="I23" s="3" t="s">
        <v>967</v>
      </c>
      <c r="K23" s="10">
        <v>45806</v>
      </c>
      <c r="M23" s="8" t="b">
        <v>0</v>
      </c>
      <c r="N23" s="10">
        <v>45810</v>
      </c>
      <c r="P23" s="8" t="b">
        <v>0</v>
      </c>
      <c r="Q23" s="10"/>
      <c r="S23" s="8" t="b">
        <v>0</v>
      </c>
      <c r="T23" s="10"/>
      <c r="V23" s="8" t="b">
        <v>0</v>
      </c>
    </row>
    <row r="24" spans="1:22">
      <c r="A24" s="20"/>
      <c r="B24" s="20"/>
      <c r="C24" s="20" t="s">
        <v>968</v>
      </c>
      <c r="D24" s="20"/>
      <c r="K24" s="10">
        <v>45806</v>
      </c>
      <c r="M24" s="8" t="b">
        <v>0</v>
      </c>
      <c r="N24" s="10">
        <v>45810</v>
      </c>
      <c r="P24" s="8" t="b">
        <v>0</v>
      </c>
      <c r="Q24" s="10"/>
      <c r="S24" s="8" t="b">
        <v>0</v>
      </c>
      <c r="V24" s="8" t="b">
        <v>0</v>
      </c>
    </row>
    <row r="25" spans="1:22">
      <c r="A25" s="20"/>
      <c r="B25" s="20"/>
      <c r="C25" s="20" t="s">
        <v>969</v>
      </c>
      <c r="D25" s="20"/>
      <c r="E25" s="13">
        <v>850</v>
      </c>
      <c r="K25" s="10">
        <v>45806</v>
      </c>
      <c r="M25" s="8" t="b">
        <v>0</v>
      </c>
      <c r="N25" s="10">
        <v>45810</v>
      </c>
      <c r="P25" s="8" t="b">
        <v>0</v>
      </c>
      <c r="Q25" s="10"/>
      <c r="S25" s="8" t="b">
        <v>0</v>
      </c>
      <c r="T25" s="10"/>
      <c r="V25" s="8" t="b">
        <v>0</v>
      </c>
    </row>
    <row r="26" spans="1:22">
      <c r="A26" s="20"/>
      <c r="B26" s="20"/>
      <c r="C26" s="20"/>
      <c r="D26" s="20"/>
      <c r="K26" s="10"/>
      <c r="M26" s="1"/>
      <c r="N26" s="10"/>
      <c r="P26" s="1"/>
      <c r="Q26" s="10"/>
      <c r="S26" s="1"/>
      <c r="T26" s="10"/>
      <c r="V26" s="1"/>
    </row>
    <row r="27" spans="1:22">
      <c r="A27" s="20"/>
      <c r="B27" s="20"/>
      <c r="C27" s="20"/>
      <c r="D27" s="20"/>
      <c r="K27" s="10"/>
      <c r="M27" s="1"/>
      <c r="N27" s="10"/>
      <c r="P27" s="1"/>
      <c r="Q27" s="10"/>
      <c r="S27" s="1"/>
      <c r="T27" s="10"/>
      <c r="V27" s="1"/>
    </row>
    <row r="28" spans="1:22">
      <c r="A28" s="20" t="s">
        <v>660</v>
      </c>
      <c r="B28" s="20"/>
      <c r="C28" s="20" t="s">
        <v>970</v>
      </c>
      <c r="D28" s="20"/>
      <c r="I28" s="3" t="s">
        <v>8</v>
      </c>
      <c r="K28" s="10">
        <v>45806</v>
      </c>
      <c r="M28" s="8" t="b">
        <v>1</v>
      </c>
      <c r="N28" s="10">
        <v>45806</v>
      </c>
      <c r="P28" s="8" t="b">
        <v>1</v>
      </c>
      <c r="Q28" s="10">
        <v>45812</v>
      </c>
      <c r="S28" s="8" t="b">
        <v>1</v>
      </c>
      <c r="V28" s="8" t="b">
        <v>0</v>
      </c>
    </row>
    <row r="29" spans="1:22">
      <c r="A29" s="20" t="s">
        <v>660</v>
      </c>
      <c r="B29" s="20"/>
      <c r="C29" s="20" t="s">
        <v>661</v>
      </c>
      <c r="D29" s="20"/>
      <c r="K29" s="10">
        <v>45806</v>
      </c>
      <c r="M29" s="8" t="b">
        <v>1</v>
      </c>
      <c r="N29" s="10">
        <v>45806</v>
      </c>
      <c r="P29" s="8" t="b">
        <v>1</v>
      </c>
      <c r="Q29" s="10">
        <v>45812</v>
      </c>
      <c r="S29" s="8" t="b">
        <v>1</v>
      </c>
      <c r="V29" s="8" t="b">
        <v>0</v>
      </c>
    </row>
    <row r="30" spans="1:22">
      <c r="A30" s="20"/>
      <c r="B30" s="20"/>
      <c r="C30" s="20"/>
      <c r="D30" s="20"/>
      <c r="K30" s="10"/>
      <c r="M30" s="1"/>
      <c r="N30" s="10"/>
      <c r="P30" s="1"/>
      <c r="Q30" s="10"/>
      <c r="S30" s="1"/>
      <c r="T30" s="10"/>
      <c r="V30" s="1"/>
    </row>
    <row r="31" spans="1:22">
      <c r="A31" s="20"/>
      <c r="B31" s="20"/>
      <c r="C31" s="20"/>
      <c r="D31" s="20"/>
      <c r="K31" s="10"/>
      <c r="M31" s="1"/>
      <c r="N31" s="10"/>
      <c r="P31" s="1"/>
      <c r="Q31" s="10"/>
      <c r="S31" s="1"/>
      <c r="T31" s="10"/>
      <c r="V31" s="1"/>
    </row>
    <row r="32" spans="1:22">
      <c r="A32" s="20" t="s">
        <v>847</v>
      </c>
      <c r="B32" s="20"/>
      <c r="C32" s="20" t="s">
        <v>971</v>
      </c>
      <c r="D32" s="20"/>
      <c r="I32" s="3" t="s">
        <v>8</v>
      </c>
      <c r="K32" s="10">
        <v>45806</v>
      </c>
      <c r="M32" s="8" t="b">
        <v>1</v>
      </c>
      <c r="N32" s="10">
        <v>45810</v>
      </c>
      <c r="P32" s="8" t="b">
        <v>1</v>
      </c>
      <c r="Q32" s="10">
        <v>45812</v>
      </c>
      <c r="S32" s="8" t="b">
        <v>1</v>
      </c>
      <c r="V32" s="8" t="b">
        <v>0</v>
      </c>
    </row>
    <row r="33" spans="1:22">
      <c r="A33" s="20"/>
      <c r="B33" s="20"/>
      <c r="C33" s="20" t="s">
        <v>972</v>
      </c>
      <c r="D33" s="20"/>
      <c r="E33" s="13">
        <v>350</v>
      </c>
      <c r="K33" s="10"/>
      <c r="M33" s="8" t="b">
        <v>1</v>
      </c>
      <c r="N33" s="10"/>
      <c r="P33" s="8" t="b">
        <v>1</v>
      </c>
      <c r="Q33" s="10"/>
      <c r="S33" s="8" t="b">
        <v>0</v>
      </c>
      <c r="T33" s="10"/>
      <c r="V33" s="8" t="b">
        <v>0</v>
      </c>
    </row>
    <row r="34" spans="1:22">
      <c r="A34" s="20"/>
      <c r="B34" s="20"/>
      <c r="C34" s="20" t="s">
        <v>973</v>
      </c>
      <c r="D34" s="20"/>
      <c r="E34" s="13">
        <v>300</v>
      </c>
      <c r="G34" s="13">
        <v>110.52</v>
      </c>
      <c r="I34" s="3" t="s">
        <v>974</v>
      </c>
      <c r="K34" s="10">
        <v>45806</v>
      </c>
      <c r="M34" s="8" t="b">
        <v>1</v>
      </c>
      <c r="N34" s="10">
        <v>45810</v>
      </c>
      <c r="P34" s="8" t="b">
        <v>1</v>
      </c>
      <c r="Q34" s="10">
        <v>45831</v>
      </c>
      <c r="S34" s="8" t="b">
        <v>0</v>
      </c>
      <c r="T34" s="10"/>
      <c r="V34" s="8" t="b">
        <v>0</v>
      </c>
    </row>
    <row r="35" spans="1:22">
      <c r="A35" s="20"/>
      <c r="B35" s="20"/>
      <c r="C35" s="20" t="s">
        <v>975</v>
      </c>
      <c r="D35" s="20"/>
      <c r="G35" s="13">
        <v>60.61</v>
      </c>
      <c r="I35" s="3" t="s">
        <v>12</v>
      </c>
      <c r="K35" s="10">
        <v>45806</v>
      </c>
      <c r="M35" s="8" t="b">
        <v>1</v>
      </c>
      <c r="N35" s="10"/>
      <c r="P35" s="8" t="b">
        <v>1</v>
      </c>
      <c r="Q35" s="10">
        <v>45831</v>
      </c>
      <c r="S35" s="8" t="b">
        <v>1</v>
      </c>
      <c r="T35" s="10"/>
      <c r="V35" s="8" t="b">
        <v>0</v>
      </c>
    </row>
    <row r="36" spans="1:22">
      <c r="A36" s="20"/>
      <c r="B36" s="20"/>
      <c r="C36" s="20" t="s">
        <v>976</v>
      </c>
      <c r="D36" s="20"/>
      <c r="E36" s="13">
        <v>400</v>
      </c>
      <c r="I36" s="3" t="s">
        <v>8</v>
      </c>
      <c r="K36" s="10">
        <v>45806</v>
      </c>
      <c r="M36" s="8" t="b">
        <v>1</v>
      </c>
      <c r="N36" s="10">
        <v>45810</v>
      </c>
      <c r="P36" s="8" t="b">
        <v>1</v>
      </c>
      <c r="Q36" s="10">
        <v>45812</v>
      </c>
      <c r="S36" s="8" t="b">
        <v>1</v>
      </c>
      <c r="T36" s="10"/>
      <c r="V36" s="8" t="b">
        <v>0</v>
      </c>
    </row>
    <row r="37" spans="1:22">
      <c r="A37" s="20"/>
      <c r="B37" s="20"/>
      <c r="C37" s="20" t="s">
        <v>977</v>
      </c>
      <c r="D37" s="20"/>
      <c r="I37" s="3" t="s">
        <v>8</v>
      </c>
      <c r="K37" s="10"/>
      <c r="M37" s="8" t="b">
        <v>0</v>
      </c>
      <c r="N37" s="10"/>
      <c r="P37" s="8" t="b">
        <v>0</v>
      </c>
      <c r="Q37" s="10">
        <v>45814</v>
      </c>
      <c r="S37" s="8" t="b">
        <v>1</v>
      </c>
      <c r="T37" s="10"/>
      <c r="V37" s="8" t="b">
        <v>0</v>
      </c>
    </row>
    <row r="38" spans="1:22">
      <c r="A38" s="20"/>
      <c r="B38" s="20"/>
      <c r="C38" s="20"/>
      <c r="D38" s="20"/>
      <c r="K38" s="10"/>
      <c r="M38" s="8" t="b">
        <v>0</v>
      </c>
      <c r="N38" s="10"/>
      <c r="P38" s="8" t="b">
        <v>0</v>
      </c>
      <c r="Q38" s="10"/>
      <c r="S38" s="8" t="b">
        <v>0</v>
      </c>
      <c r="T38" s="10"/>
      <c r="V38" s="8" t="b">
        <v>0</v>
      </c>
    </row>
    <row r="39" spans="1:22">
      <c r="A39" s="20"/>
      <c r="B39" s="20"/>
      <c r="C39" s="20"/>
      <c r="D39" s="20"/>
      <c r="K39" s="10"/>
      <c r="M39" s="8" t="b">
        <v>0</v>
      </c>
      <c r="N39" s="10"/>
      <c r="P39" s="8" t="b">
        <v>0</v>
      </c>
      <c r="Q39" s="10"/>
      <c r="S39" s="8" t="b">
        <v>0</v>
      </c>
      <c r="T39" s="10"/>
      <c r="V39" s="8" t="b">
        <v>0</v>
      </c>
    </row>
    <row r="40" spans="1:22">
      <c r="A40" s="20"/>
      <c r="B40" s="20"/>
      <c r="C40" s="20"/>
      <c r="D40" s="20"/>
      <c r="K40" s="10"/>
      <c r="M40" s="1"/>
      <c r="N40" s="10"/>
      <c r="P40" s="1"/>
      <c r="Q40" s="10"/>
      <c r="S40" s="1"/>
      <c r="V40" s="1"/>
    </row>
    <row r="41" spans="1:22">
      <c r="A41" s="3" t="s">
        <v>978</v>
      </c>
      <c r="B41" s="20"/>
      <c r="C41" s="20" t="s">
        <v>979</v>
      </c>
      <c r="D41" s="21"/>
      <c r="K41" s="10">
        <v>45806</v>
      </c>
      <c r="M41" s="8" t="b">
        <v>0</v>
      </c>
      <c r="N41" s="10">
        <v>45806</v>
      </c>
      <c r="P41" s="8" t="b">
        <v>1</v>
      </c>
      <c r="Q41" s="10"/>
      <c r="S41" s="8" t="b">
        <v>1</v>
      </c>
      <c r="T41" s="10"/>
      <c r="V41" s="8" t="b">
        <v>0</v>
      </c>
    </row>
    <row r="42" spans="1:22">
      <c r="A42" s="20" t="s">
        <v>978</v>
      </c>
      <c r="B42" s="20"/>
      <c r="C42" s="20" t="s">
        <v>980</v>
      </c>
      <c r="D42" s="20"/>
      <c r="I42" s="3" t="s">
        <v>9</v>
      </c>
      <c r="K42" s="10">
        <v>45806</v>
      </c>
      <c r="M42" s="8" t="b">
        <v>0</v>
      </c>
      <c r="N42" s="10"/>
      <c r="P42" s="8" t="b">
        <v>0</v>
      </c>
      <c r="Q42" s="10"/>
      <c r="S42" s="8" t="b">
        <v>0</v>
      </c>
      <c r="V42" s="8" t="b">
        <v>0</v>
      </c>
    </row>
    <row r="43" spans="1:22">
      <c r="A43" s="20"/>
      <c r="B43" s="20"/>
      <c r="C43" s="20" t="s">
        <v>981</v>
      </c>
      <c r="D43" s="20"/>
      <c r="K43" s="10">
        <v>45806</v>
      </c>
      <c r="M43" s="8" t="b">
        <v>0</v>
      </c>
      <c r="N43" s="10"/>
      <c r="P43" s="8" t="b">
        <v>0</v>
      </c>
      <c r="Q43" s="10"/>
      <c r="S43" s="8" t="b">
        <v>0</v>
      </c>
      <c r="T43" s="10"/>
      <c r="V43" s="8" t="b">
        <v>0</v>
      </c>
    </row>
    <row r="44" spans="1:22">
      <c r="A44" s="20"/>
      <c r="B44" s="20"/>
      <c r="C44" s="20"/>
      <c r="D44" s="20"/>
      <c r="K44" s="10"/>
      <c r="M44" s="8" t="b">
        <v>0</v>
      </c>
      <c r="N44" s="10"/>
      <c r="P44" s="8" t="b">
        <v>0</v>
      </c>
      <c r="Q44" s="10"/>
      <c r="S44" s="8" t="b">
        <v>0</v>
      </c>
      <c r="T44" s="10"/>
      <c r="V44" s="8" t="b">
        <v>0</v>
      </c>
    </row>
    <row r="45" spans="1:22">
      <c r="A45" s="20"/>
      <c r="B45" s="20"/>
      <c r="C45" s="20"/>
      <c r="D45" s="20"/>
      <c r="K45" s="10"/>
      <c r="M45" s="8" t="b">
        <v>0</v>
      </c>
      <c r="N45" s="10"/>
      <c r="P45" s="8" t="b">
        <v>0</v>
      </c>
      <c r="Q45" s="10"/>
      <c r="S45" s="8" t="b">
        <v>0</v>
      </c>
      <c r="T45" s="10"/>
      <c r="V45" s="8" t="b">
        <v>0</v>
      </c>
    </row>
    <row r="46" spans="1:22">
      <c r="A46" s="20"/>
      <c r="B46" s="20"/>
      <c r="C46" s="20"/>
      <c r="D46" s="20"/>
      <c r="K46" s="10"/>
      <c r="M46" s="8" t="b">
        <v>0</v>
      </c>
      <c r="N46" s="10"/>
      <c r="P46" s="8" t="b">
        <v>0</v>
      </c>
      <c r="Q46" s="10"/>
      <c r="S46" s="8" t="b">
        <v>0</v>
      </c>
      <c r="T46" s="10"/>
      <c r="V46" s="8" t="b">
        <v>0</v>
      </c>
    </row>
    <row r="47" spans="1:22">
      <c r="A47" s="20"/>
      <c r="B47" s="20"/>
      <c r="C47" s="20"/>
      <c r="D47" s="20"/>
      <c r="K47" s="10"/>
      <c r="M47" s="8" t="b">
        <v>0</v>
      </c>
      <c r="N47" s="10"/>
      <c r="P47" s="8" t="b">
        <v>0</v>
      </c>
      <c r="Q47" s="10"/>
      <c r="S47" s="8" t="b">
        <v>0</v>
      </c>
      <c r="T47" s="10"/>
      <c r="V47" s="8" t="b">
        <v>0</v>
      </c>
    </row>
    <row r="48" spans="1:22" s="5" customFormat="1">
      <c r="B48" s="4"/>
      <c r="E48" s="11">
        <f>SUM(E6:E46)</f>
        <v>7300</v>
      </c>
      <c r="F48" s="11"/>
      <c r="G48" s="11">
        <f>SUM(G2:G46)</f>
        <v>4943.63</v>
      </c>
      <c r="L48" s="3"/>
      <c r="M48" s="1"/>
      <c r="N48" s="3"/>
      <c r="P48" s="1"/>
      <c r="S48" s="1"/>
      <c r="V48" s="1"/>
    </row>
    <row r="49" spans="2:22" s="5" customFormat="1">
      <c r="B49" s="4"/>
      <c r="E49" s="11"/>
      <c r="F49" s="11"/>
      <c r="G49" s="11"/>
      <c r="L49" s="3"/>
      <c r="M49" s="1"/>
      <c r="N49" s="3"/>
      <c r="P49" s="1"/>
      <c r="S49" s="1"/>
      <c r="V49" s="1"/>
    </row>
    <row r="50" spans="2:22" s="5" customFormat="1">
      <c r="B50" s="1"/>
      <c r="C50" s="3"/>
      <c r="D50" s="3"/>
      <c r="E50" s="11"/>
      <c r="F50" s="11"/>
      <c r="G50" s="11"/>
      <c r="L50" s="3"/>
      <c r="M50" s="1"/>
      <c r="N50" s="3"/>
      <c r="P50" s="1"/>
      <c r="S50" s="1"/>
      <c r="V50" s="1"/>
    </row>
    <row r="51" spans="2:22" s="5" customFormat="1">
      <c r="B51" s="1"/>
      <c r="C51" s="3"/>
      <c r="D51" s="3"/>
      <c r="E51" s="11"/>
      <c r="F51" s="11"/>
      <c r="G51" s="11"/>
      <c r="L51" s="3"/>
      <c r="M51" s="1"/>
      <c r="N51" s="3"/>
      <c r="P51" s="1"/>
      <c r="S51" s="1"/>
      <c r="V51" s="1"/>
    </row>
    <row r="52" spans="2:22" s="5" customFormat="1">
      <c r="B52" s="1"/>
      <c r="C52" s="3"/>
      <c r="D52" s="3"/>
      <c r="E52" s="11"/>
      <c r="F52" s="11"/>
      <c r="G52" s="11"/>
      <c r="L52" s="3"/>
      <c r="M52" s="1"/>
      <c r="N52" s="3"/>
      <c r="P52" s="1"/>
      <c r="S52" s="1"/>
      <c r="V52" s="1"/>
    </row>
    <row r="53" spans="2:22" s="5" customFormat="1">
      <c r="B53" s="1"/>
      <c r="C53" s="3"/>
      <c r="D53" s="3"/>
      <c r="E53" s="11"/>
      <c r="F53" s="11"/>
      <c r="G53" s="11"/>
      <c r="L53" s="3"/>
      <c r="M53" s="1"/>
      <c r="N53" s="3"/>
      <c r="P53" s="1"/>
      <c r="S53" s="1"/>
      <c r="V53" s="1"/>
    </row>
    <row r="54" spans="2:22">
      <c r="B54" s="1"/>
      <c r="M54" s="1"/>
      <c r="P54" s="1"/>
      <c r="S54" s="1"/>
      <c r="V54" s="1"/>
    </row>
    <row r="55" spans="2:22">
      <c r="B55" s="1"/>
      <c r="M55" s="1"/>
      <c r="P55" s="1"/>
      <c r="S55" s="1"/>
      <c r="V55" s="1"/>
    </row>
    <row r="56" spans="2:22">
      <c r="B56" s="1"/>
      <c r="M56" s="1"/>
      <c r="P56" s="1"/>
      <c r="S56" s="1"/>
      <c r="V56" s="1"/>
    </row>
    <row r="57" spans="2:22">
      <c r="B57" s="1"/>
      <c r="M57" s="1"/>
      <c r="P57" s="1"/>
      <c r="S57" s="1"/>
      <c r="V57" s="1"/>
    </row>
    <row r="58" spans="2:22">
      <c r="B58" s="1"/>
      <c r="M58" s="1"/>
      <c r="P58" s="1"/>
      <c r="S58" s="1"/>
      <c r="V58" s="1"/>
    </row>
    <row r="59" spans="2:22">
      <c r="B59" s="18"/>
      <c r="M59" s="1"/>
      <c r="P59" s="1"/>
      <c r="S59" s="1"/>
      <c r="V59" s="1"/>
    </row>
    <row r="60" spans="2:22">
      <c r="B60" s="1"/>
      <c r="L60" s="5"/>
      <c r="M60" s="1"/>
      <c r="N60" s="5"/>
      <c r="P60" s="1"/>
      <c r="S60" s="1"/>
      <c r="V60" s="1"/>
    </row>
    <row r="61" spans="2:22">
      <c r="B61" s="1"/>
      <c r="L61" s="5"/>
      <c r="M61" s="1"/>
      <c r="N61" s="5"/>
      <c r="P61" s="1"/>
      <c r="S61" s="1"/>
      <c r="V61" s="1"/>
    </row>
    <row r="62" spans="2:22">
      <c r="B62" s="1"/>
      <c r="L62" s="5"/>
      <c r="M62" s="1"/>
      <c r="N62" s="5"/>
      <c r="P62" s="1"/>
      <c r="S62" s="1"/>
      <c r="V62" s="1"/>
    </row>
    <row r="63" spans="2:22">
      <c r="B63" s="1"/>
      <c r="L63" s="5"/>
      <c r="M63" s="1"/>
      <c r="N63" s="5"/>
      <c r="P63" s="1"/>
      <c r="S63" s="1"/>
      <c r="V63" s="1"/>
    </row>
    <row r="64" spans="2:22">
      <c r="B64" s="1"/>
      <c r="M64" s="1"/>
      <c r="P64" s="1"/>
      <c r="S64" s="1"/>
      <c r="V64" s="1"/>
    </row>
    <row r="65" spans="2:22">
      <c r="B65" s="1"/>
      <c r="M65" s="2"/>
      <c r="P65" s="2"/>
      <c r="S65" s="2"/>
      <c r="V65" s="2"/>
    </row>
    <row r="66" spans="2:22" s="5" customFormat="1">
      <c r="B66" s="4"/>
      <c r="E66" s="11"/>
      <c r="F66" s="11"/>
      <c r="G66" s="11"/>
      <c r="M66" s="14"/>
      <c r="P66" s="14"/>
      <c r="S66" s="14"/>
      <c r="V66" s="14"/>
    </row>
    <row r="67" spans="2:22" s="5" customFormat="1">
      <c r="B67" s="4"/>
      <c r="E67" s="11"/>
      <c r="F67" s="11"/>
      <c r="G67" s="11"/>
      <c r="L67" s="3"/>
      <c r="M67" s="2"/>
      <c r="N67" s="3"/>
      <c r="P67" s="2"/>
      <c r="S67" s="2"/>
      <c r="V67" s="2"/>
    </row>
    <row r="68" spans="2:22" s="5" customFormat="1">
      <c r="B68" s="1"/>
      <c r="C68" s="3"/>
      <c r="D68" s="3"/>
      <c r="E68" s="11"/>
      <c r="F68" s="11"/>
      <c r="G68" s="11"/>
      <c r="M68" s="4"/>
      <c r="P68" s="4"/>
      <c r="S68" s="4"/>
      <c r="V68" s="4"/>
    </row>
    <row r="69" spans="2:22" s="5" customFormat="1">
      <c r="B69" s="1"/>
      <c r="C69" s="3"/>
      <c r="D69" s="3"/>
      <c r="E69" s="11"/>
      <c r="F69" s="11"/>
      <c r="G69" s="11"/>
      <c r="M69" s="4"/>
      <c r="P69" s="4"/>
      <c r="S69" s="4"/>
      <c r="V69" s="4"/>
    </row>
    <row r="70" spans="2:22">
      <c r="B70" s="1"/>
      <c r="L70" s="5"/>
      <c r="M70" s="4"/>
      <c r="N70" s="5"/>
      <c r="P70" s="4"/>
      <c r="S70" s="4"/>
      <c r="V70" s="4"/>
    </row>
    <row r="71" spans="2:22">
      <c r="B71" s="1"/>
      <c r="L71" s="5"/>
      <c r="M71" s="1"/>
      <c r="N71" s="5"/>
      <c r="P71" s="1"/>
      <c r="S71" s="1"/>
      <c r="V71" s="1"/>
    </row>
    <row r="72" spans="2:22">
      <c r="B72" s="1"/>
      <c r="L72" s="5"/>
      <c r="M72" s="1"/>
      <c r="N72" s="5"/>
      <c r="P72" s="1"/>
      <c r="S72" s="1"/>
      <c r="V72" s="1"/>
    </row>
    <row r="73" spans="2:22">
      <c r="B73" s="1"/>
      <c r="M73" s="1"/>
      <c r="P73" s="1"/>
      <c r="S73" s="1"/>
      <c r="V73" s="1"/>
    </row>
    <row r="74" spans="2:22">
      <c r="B74" s="1"/>
      <c r="M74" s="1"/>
      <c r="P74" s="1"/>
      <c r="S74" s="1"/>
      <c r="V74" s="1"/>
    </row>
    <row r="75" spans="2:22">
      <c r="B75" s="1"/>
      <c r="M75" s="1"/>
      <c r="P75" s="1"/>
      <c r="S75" s="1"/>
      <c r="V75" s="1"/>
    </row>
    <row r="76" spans="2:22">
      <c r="B76" s="1"/>
      <c r="M76" s="1"/>
      <c r="P76" s="1"/>
      <c r="S76" s="1"/>
      <c r="V76" s="1"/>
    </row>
    <row r="77" spans="2:22">
      <c r="B77" s="1"/>
      <c r="M77" s="1"/>
      <c r="P77" s="1"/>
      <c r="S77" s="1"/>
      <c r="V77" s="1"/>
    </row>
    <row r="78" spans="2:22">
      <c r="B78" s="1"/>
      <c r="M78" s="1"/>
      <c r="P78" s="1"/>
      <c r="S78" s="1"/>
      <c r="V78" s="1"/>
    </row>
    <row r="79" spans="2:22">
      <c r="B79" s="1"/>
      <c r="M79" s="1"/>
      <c r="P79" s="1"/>
      <c r="S79" s="1"/>
      <c r="V79" s="1"/>
    </row>
    <row r="80" spans="2:22">
      <c r="B80" s="1"/>
      <c r="M80" s="1"/>
      <c r="P80" s="1"/>
      <c r="S80" s="1"/>
      <c r="V80" s="1"/>
    </row>
    <row r="81" spans="13:22">
      <c r="M81" s="1"/>
      <c r="P81" s="1"/>
      <c r="S81" s="1"/>
      <c r="V81" s="1"/>
    </row>
    <row r="82" spans="13:22">
      <c r="M82" s="1"/>
      <c r="P82" s="1"/>
      <c r="S82" s="1"/>
      <c r="V82" s="1"/>
    </row>
    <row r="83" spans="13:22">
      <c r="M83" s="1"/>
      <c r="P83" s="1"/>
      <c r="S83" s="1"/>
      <c r="V83" s="1"/>
    </row>
  </sheetData>
  <pageMargins left="0.7" right="0.7" top="0.75" bottom="0.75" header="0.3" footer="0.3"/>
  <pageSetup orientation="portrait" horizontalDpi="203" verticalDpi="20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8EA0-C45B-4CA5-9AE4-2ECBC3891C8A}">
  <dimension ref="A1:O114"/>
  <sheetViews>
    <sheetView workbookViewId="0">
      <pane ySplit="2" topLeftCell="A62" activePane="bottomLeft" state="frozen"/>
      <selection pane="bottomLeft" activeCell="C62" sqref="C62"/>
      <selection activeCell="C1" sqref="C1"/>
    </sheetView>
  </sheetViews>
  <sheetFormatPr defaultColWidth="8.85546875" defaultRowHeight="15.75" customHeight="1"/>
  <cols>
    <col min="1" max="1" width="12.7109375" style="39" customWidth="1"/>
    <col min="2" max="2" width="9.140625" style="39" bestFit="1" customWidth="1"/>
    <col min="3" max="3" width="47.85546875" style="39" customWidth="1"/>
    <col min="4" max="4" width="2.140625" style="39" customWidth="1"/>
    <col min="5" max="5" width="24.140625" style="41" customWidth="1"/>
    <col min="6" max="6" width="18.85546875" style="39" customWidth="1"/>
    <col min="7" max="7" width="13.7109375" style="39" customWidth="1"/>
    <col min="8" max="8" width="2.7109375" style="39" customWidth="1"/>
    <col min="9" max="9" width="9.140625" style="39" bestFit="1" customWidth="1"/>
    <col min="10" max="10" width="11.42578125" style="39" customWidth="1"/>
    <col min="11" max="11" width="2.140625" style="39" customWidth="1"/>
    <col min="12" max="12" width="9.140625" style="39" bestFit="1" customWidth="1"/>
    <col min="13" max="13" width="11.42578125" style="39" customWidth="1"/>
    <col min="14" max="14" width="32.5703125" style="39" customWidth="1"/>
    <col min="15" max="15" width="21.42578125" style="39" customWidth="1"/>
    <col min="16" max="16384" width="8.85546875" style="39"/>
  </cols>
  <sheetData>
    <row r="1" spans="1:14" s="40" customFormat="1" ht="15.95">
      <c r="A1" s="4" t="s">
        <v>560</v>
      </c>
      <c r="B1" s="5"/>
      <c r="C1" s="5"/>
      <c r="D1" s="5"/>
      <c r="E1" s="11"/>
      <c r="F1" s="5"/>
      <c r="G1" s="5"/>
      <c r="H1" s="5"/>
      <c r="I1" s="4"/>
      <c r="J1" s="5"/>
      <c r="K1" s="5"/>
      <c r="L1" s="4"/>
      <c r="M1" s="5"/>
      <c r="N1" s="5"/>
    </row>
    <row r="2" spans="1:14" s="40" customFormat="1" ht="47.65">
      <c r="A2" s="5"/>
      <c r="B2" s="4"/>
      <c r="C2" s="5" t="s">
        <v>982</v>
      </c>
      <c r="D2" s="5"/>
      <c r="E2" s="32" t="s">
        <v>983</v>
      </c>
      <c r="F2" s="6" t="s">
        <v>5</v>
      </c>
      <c r="G2" s="7" t="s">
        <v>69</v>
      </c>
      <c r="H2" s="5"/>
      <c r="I2" s="17"/>
      <c r="J2" s="7" t="s">
        <v>70</v>
      </c>
      <c r="K2" s="5"/>
      <c r="L2" s="17"/>
      <c r="M2" s="7" t="s">
        <v>71</v>
      </c>
      <c r="N2" s="6" t="s">
        <v>72</v>
      </c>
    </row>
    <row r="3" spans="1:14" s="40" customFormat="1" ht="15.95">
      <c r="A3" s="4" t="s">
        <v>73</v>
      </c>
      <c r="B3" s="5"/>
      <c r="C3" s="5"/>
      <c r="D3" s="5"/>
      <c r="E3" s="11"/>
      <c r="F3" s="5"/>
      <c r="G3" s="5"/>
      <c r="H3" s="5"/>
      <c r="I3" s="5"/>
      <c r="J3" s="5"/>
      <c r="K3" s="5"/>
      <c r="L3" s="5"/>
      <c r="M3" s="5"/>
      <c r="N3" s="5"/>
    </row>
    <row r="4" spans="1:14" ht="15.95">
      <c r="A4" s="3"/>
      <c r="B4" s="1"/>
      <c r="C4" s="3"/>
      <c r="D4" s="3"/>
      <c r="E4" s="13"/>
      <c r="F4" s="3"/>
      <c r="G4" s="3"/>
      <c r="H4" s="3"/>
      <c r="I4" s="1"/>
      <c r="J4" s="3"/>
      <c r="K4" s="3"/>
      <c r="L4" s="1"/>
      <c r="M4" s="3"/>
      <c r="N4" s="3"/>
    </row>
    <row r="5" spans="1:14" ht="15.95">
      <c r="A5" s="20"/>
      <c r="B5" s="20"/>
      <c r="C5" s="20"/>
      <c r="D5" s="3"/>
      <c r="E5" s="13"/>
      <c r="F5" s="3"/>
      <c r="G5" s="3"/>
      <c r="H5" s="3"/>
      <c r="I5" s="8" t="b">
        <v>0</v>
      </c>
      <c r="J5" s="3"/>
      <c r="K5" s="3"/>
      <c r="L5" s="8" t="b">
        <v>0</v>
      </c>
      <c r="M5" s="3"/>
      <c r="N5" s="3"/>
    </row>
    <row r="6" spans="1:14" ht="15.95">
      <c r="A6" s="20"/>
      <c r="B6" s="20"/>
      <c r="C6" s="20" t="s">
        <v>562</v>
      </c>
      <c r="D6" s="3"/>
      <c r="E6" s="13"/>
      <c r="F6" s="3"/>
      <c r="G6" s="3"/>
      <c r="H6" s="3"/>
      <c r="I6" s="8" t="b">
        <v>0</v>
      </c>
      <c r="J6" s="3"/>
      <c r="K6" s="3"/>
      <c r="L6" s="8" t="b">
        <v>0</v>
      </c>
      <c r="M6" s="3"/>
      <c r="N6" s="3"/>
    </row>
    <row r="7" spans="1:14" ht="15.95">
      <c r="A7" s="20" t="s">
        <v>984</v>
      </c>
      <c r="B7" s="20"/>
      <c r="C7" s="20" t="s">
        <v>985</v>
      </c>
      <c r="D7" s="3"/>
      <c r="E7" s="13"/>
      <c r="F7" s="3"/>
      <c r="G7" s="10"/>
      <c r="H7" s="3"/>
      <c r="I7" s="8" t="b">
        <v>0</v>
      </c>
      <c r="J7" s="3"/>
      <c r="K7" s="3"/>
      <c r="L7" s="8" t="b">
        <v>0</v>
      </c>
      <c r="M7" s="3"/>
      <c r="N7" s="3"/>
    </row>
    <row r="8" spans="1:14" ht="15.95">
      <c r="A8" s="20"/>
      <c r="B8" s="20"/>
      <c r="C8" s="20" t="s">
        <v>986</v>
      </c>
      <c r="D8" s="3"/>
      <c r="E8" s="13"/>
      <c r="F8" s="3"/>
      <c r="G8" s="10"/>
      <c r="H8" s="3"/>
      <c r="I8" s="8" t="b">
        <v>0</v>
      </c>
      <c r="J8" s="3"/>
      <c r="K8" s="3"/>
      <c r="L8" s="8" t="b">
        <v>0</v>
      </c>
      <c r="M8" s="3"/>
      <c r="N8" s="3"/>
    </row>
    <row r="9" spans="1:14" ht="15.95">
      <c r="A9" s="20"/>
      <c r="B9" s="20"/>
      <c r="C9" s="20" t="s">
        <v>987</v>
      </c>
      <c r="D9" s="3"/>
      <c r="E9" s="13"/>
      <c r="F9" s="3"/>
      <c r="G9" s="3"/>
      <c r="H9" s="3"/>
      <c r="I9" s="8" t="b">
        <v>0</v>
      </c>
      <c r="J9" s="3"/>
      <c r="K9" s="3"/>
      <c r="L9" s="8" t="b">
        <v>0</v>
      </c>
      <c r="M9" s="3"/>
      <c r="N9" s="3"/>
    </row>
    <row r="10" spans="1:14" ht="15.95">
      <c r="A10" s="20"/>
      <c r="B10" s="20"/>
      <c r="C10" s="20" t="s">
        <v>988</v>
      </c>
      <c r="D10" s="3"/>
      <c r="E10" s="13"/>
      <c r="F10" s="3"/>
      <c r="G10" s="3"/>
      <c r="H10" s="3"/>
      <c r="I10" s="8" t="b">
        <v>0</v>
      </c>
      <c r="J10" s="3"/>
      <c r="K10" s="3"/>
      <c r="L10" s="8" t="b">
        <v>0</v>
      </c>
      <c r="M10" s="3"/>
      <c r="N10" s="3"/>
    </row>
    <row r="11" spans="1:14" ht="15.95">
      <c r="A11" s="20"/>
      <c r="B11" s="20"/>
      <c r="C11" s="20" t="s">
        <v>989</v>
      </c>
      <c r="D11" s="3"/>
      <c r="E11" s="13"/>
      <c r="F11" s="3" t="s">
        <v>990</v>
      </c>
      <c r="G11" s="10">
        <v>45805</v>
      </c>
      <c r="H11" s="3"/>
      <c r="I11" s="8" t="b">
        <v>0</v>
      </c>
      <c r="J11" s="3"/>
      <c r="K11" s="3"/>
      <c r="L11" s="8" t="b">
        <v>0</v>
      </c>
      <c r="M11" s="3"/>
      <c r="N11" s="3"/>
    </row>
    <row r="12" spans="1:14" ht="15.95">
      <c r="A12" s="20"/>
      <c r="B12" s="20"/>
      <c r="C12" s="20" t="s">
        <v>991</v>
      </c>
      <c r="D12" s="3"/>
      <c r="E12" s="13"/>
      <c r="F12" s="3"/>
      <c r="G12" s="3"/>
      <c r="H12" s="3"/>
      <c r="I12" s="8" t="b">
        <v>0</v>
      </c>
      <c r="J12" s="3"/>
      <c r="K12" s="3"/>
      <c r="L12" s="8" t="b">
        <v>0</v>
      </c>
      <c r="M12" s="3"/>
      <c r="N12" s="3"/>
    </row>
    <row r="13" spans="1:14" ht="15.95">
      <c r="A13" s="20"/>
      <c r="B13" s="20"/>
      <c r="C13" s="20" t="s">
        <v>992</v>
      </c>
      <c r="D13" s="3"/>
      <c r="E13" s="13">
        <v>1490.41</v>
      </c>
      <c r="F13" s="3" t="s">
        <v>993</v>
      </c>
      <c r="G13" s="3"/>
      <c r="H13" s="3"/>
      <c r="I13" s="8" t="b">
        <v>0</v>
      </c>
      <c r="J13" s="3"/>
      <c r="K13" s="3"/>
      <c r="L13" s="8" t="b">
        <v>0</v>
      </c>
      <c r="M13" s="3"/>
      <c r="N13" s="3"/>
    </row>
    <row r="14" spans="1:14" ht="15.95">
      <c r="A14" s="20"/>
      <c r="B14" s="20"/>
      <c r="C14" s="20" t="s">
        <v>994</v>
      </c>
      <c r="D14" s="3"/>
      <c r="E14" s="13"/>
      <c r="F14" s="3"/>
      <c r="G14" s="3"/>
      <c r="H14" s="3"/>
      <c r="I14" s="8" t="b">
        <v>0</v>
      </c>
      <c r="J14" s="3"/>
      <c r="K14" s="3"/>
      <c r="L14" s="8" t="b">
        <v>0</v>
      </c>
      <c r="M14" s="3"/>
      <c r="N14" s="3"/>
    </row>
    <row r="15" spans="1:14" ht="15.95">
      <c r="A15" s="20"/>
      <c r="B15" s="20"/>
      <c r="C15" s="20"/>
      <c r="D15" s="3"/>
      <c r="E15" s="13"/>
      <c r="F15" s="3"/>
      <c r="G15" s="3"/>
      <c r="H15" s="3"/>
      <c r="I15" s="8" t="b">
        <v>0</v>
      </c>
      <c r="J15" s="3"/>
      <c r="K15" s="3"/>
      <c r="L15" s="8" t="b">
        <v>0</v>
      </c>
      <c r="M15" s="3"/>
      <c r="N15" s="3"/>
    </row>
    <row r="16" spans="1:14" ht="15.95">
      <c r="A16" s="20"/>
      <c r="B16" s="20"/>
      <c r="C16" s="20"/>
      <c r="D16" s="3"/>
      <c r="E16" s="13"/>
      <c r="F16" s="3"/>
      <c r="G16" s="3"/>
      <c r="H16" s="3"/>
      <c r="I16" s="8" t="b">
        <v>0</v>
      </c>
      <c r="J16" s="3"/>
      <c r="K16" s="3"/>
      <c r="L16" s="8" t="b">
        <v>0</v>
      </c>
      <c r="M16" s="3"/>
      <c r="N16" s="3"/>
    </row>
    <row r="17" spans="1:12" ht="15.95">
      <c r="A17" s="20" t="s">
        <v>995</v>
      </c>
      <c r="B17" s="20"/>
      <c r="C17" s="20" t="s">
        <v>996</v>
      </c>
      <c r="D17" s="3"/>
      <c r="E17" s="13">
        <v>15161.95</v>
      </c>
      <c r="F17" s="3"/>
      <c r="G17" s="3"/>
      <c r="H17" s="3"/>
      <c r="I17" s="8" t="b">
        <v>0</v>
      </c>
      <c r="J17" s="3"/>
      <c r="K17" s="3"/>
      <c r="L17" s="8" t="b">
        <v>0</v>
      </c>
    </row>
    <row r="18" spans="1:12" ht="15.95">
      <c r="A18" s="20"/>
      <c r="B18" s="20"/>
      <c r="C18" s="20" t="s">
        <v>997</v>
      </c>
      <c r="D18" s="3"/>
      <c r="E18" s="13">
        <v>5000</v>
      </c>
      <c r="F18" s="3"/>
      <c r="G18" s="3"/>
      <c r="H18" s="3"/>
      <c r="I18" s="8" t="b">
        <v>0</v>
      </c>
      <c r="J18" s="3"/>
      <c r="K18" s="3"/>
      <c r="L18" s="8" t="b">
        <v>0</v>
      </c>
    </row>
    <row r="19" spans="1:12" ht="15.95">
      <c r="A19" s="20"/>
      <c r="B19" s="20"/>
      <c r="C19" s="20" t="s">
        <v>516</v>
      </c>
      <c r="D19" s="3"/>
      <c r="E19" s="13"/>
      <c r="F19" s="3"/>
      <c r="G19" s="3"/>
      <c r="H19" s="3"/>
      <c r="I19" s="8" t="b">
        <v>0</v>
      </c>
      <c r="J19" s="3"/>
      <c r="K19" s="3"/>
      <c r="L19" s="8" t="b">
        <v>0</v>
      </c>
    </row>
    <row r="20" spans="1:12" ht="15.95">
      <c r="A20" s="20"/>
      <c r="B20" s="20"/>
      <c r="C20" s="20" t="s">
        <v>834</v>
      </c>
      <c r="D20" s="3"/>
      <c r="E20" s="13"/>
      <c r="F20" s="3"/>
      <c r="G20" s="3"/>
      <c r="H20" s="3"/>
      <c r="I20" s="8" t="b">
        <v>0</v>
      </c>
      <c r="J20" s="3"/>
      <c r="K20" s="3"/>
      <c r="L20" s="8" t="b">
        <v>0</v>
      </c>
    </row>
    <row r="21" spans="1:12" ht="15.95">
      <c r="A21" s="20" t="s">
        <v>998</v>
      </c>
      <c r="B21" s="20"/>
      <c r="C21" s="20" t="s">
        <v>999</v>
      </c>
      <c r="D21" s="3"/>
      <c r="E21" s="13"/>
      <c r="F21" s="22"/>
      <c r="G21" s="3"/>
      <c r="H21" s="3"/>
      <c r="I21" s="18"/>
      <c r="J21" s="3"/>
      <c r="K21" s="3"/>
      <c r="L21" s="18"/>
    </row>
    <row r="22" spans="1:12" ht="15.95">
      <c r="A22" s="20"/>
      <c r="B22" s="20"/>
      <c r="C22" s="20"/>
      <c r="D22" s="3"/>
      <c r="E22" s="13"/>
      <c r="F22" s="3"/>
      <c r="G22" s="10"/>
      <c r="H22" s="3"/>
      <c r="I22" s="8" t="b">
        <v>0</v>
      </c>
      <c r="J22" s="3"/>
      <c r="K22" s="3"/>
      <c r="L22" s="8" t="b">
        <v>0</v>
      </c>
    </row>
    <row r="23" spans="1:12" ht="15.95">
      <c r="A23" s="20" t="s">
        <v>563</v>
      </c>
      <c r="B23" s="20"/>
      <c r="C23" s="20" t="s">
        <v>1000</v>
      </c>
      <c r="D23" s="3"/>
      <c r="E23" s="13">
        <v>17867.07</v>
      </c>
      <c r="F23" s="3" t="s">
        <v>6</v>
      </c>
      <c r="G23" s="10">
        <v>45808</v>
      </c>
      <c r="H23" s="3"/>
      <c r="I23" s="8" t="b">
        <v>0</v>
      </c>
      <c r="J23" s="10"/>
      <c r="K23" s="3"/>
      <c r="L23" s="8" t="b">
        <v>0</v>
      </c>
    </row>
    <row r="24" spans="1:12" ht="15.95">
      <c r="A24" s="20"/>
      <c r="B24" s="20"/>
      <c r="C24" s="20" t="s">
        <v>1001</v>
      </c>
      <c r="D24" s="3"/>
      <c r="E24" s="13"/>
      <c r="F24" s="3" t="s">
        <v>6</v>
      </c>
      <c r="G24" s="10">
        <v>45808</v>
      </c>
      <c r="H24" s="3"/>
      <c r="I24" s="8" t="b">
        <v>0</v>
      </c>
      <c r="J24" s="10"/>
      <c r="K24" s="3"/>
      <c r="L24" s="8" t="b">
        <v>0</v>
      </c>
    </row>
    <row r="25" spans="1:12" ht="15.95">
      <c r="A25" s="20"/>
      <c r="B25" s="20"/>
      <c r="C25" s="20" t="s">
        <v>28</v>
      </c>
      <c r="D25" s="3"/>
      <c r="E25" s="13"/>
      <c r="F25" s="3" t="s">
        <v>6</v>
      </c>
      <c r="G25" s="10">
        <v>45808</v>
      </c>
      <c r="H25" s="3"/>
      <c r="I25" s="8" t="b">
        <v>0</v>
      </c>
      <c r="J25" s="10"/>
      <c r="K25" s="3"/>
      <c r="L25" s="8" t="b">
        <v>0</v>
      </c>
    </row>
    <row r="26" spans="1:12" ht="15.95">
      <c r="A26" s="20"/>
      <c r="B26" s="20"/>
      <c r="C26" s="20" t="s">
        <v>862</v>
      </c>
      <c r="D26" s="3"/>
      <c r="E26" s="13"/>
      <c r="F26" s="3" t="s">
        <v>6</v>
      </c>
      <c r="G26" s="10">
        <v>45808</v>
      </c>
      <c r="H26" s="3"/>
      <c r="I26" s="8" t="b">
        <v>0</v>
      </c>
      <c r="J26" s="10"/>
      <c r="K26" s="3"/>
      <c r="L26" s="8" t="b">
        <v>0</v>
      </c>
    </row>
    <row r="27" spans="1:12" ht="15.95">
      <c r="A27" s="20"/>
      <c r="B27" s="20"/>
      <c r="C27" s="20" t="s">
        <v>223</v>
      </c>
      <c r="D27" s="3"/>
      <c r="E27" s="13"/>
      <c r="F27" s="3" t="s">
        <v>6</v>
      </c>
      <c r="G27" s="10">
        <v>45808</v>
      </c>
      <c r="H27" s="3"/>
      <c r="I27" s="8" t="b">
        <v>0</v>
      </c>
      <c r="J27" s="10"/>
      <c r="K27" s="3"/>
      <c r="L27" s="8" t="b">
        <v>0</v>
      </c>
    </row>
    <row r="28" spans="1:12" ht="15.95">
      <c r="A28" s="20"/>
      <c r="B28" s="20"/>
      <c r="C28" s="20" t="s">
        <v>565</v>
      </c>
      <c r="D28" s="3"/>
      <c r="E28" s="13"/>
      <c r="F28" s="3" t="s">
        <v>6</v>
      </c>
      <c r="G28" s="10">
        <v>45808</v>
      </c>
      <c r="H28" s="3"/>
      <c r="I28" s="8" t="b">
        <v>0</v>
      </c>
      <c r="J28" s="10"/>
      <c r="K28" s="3"/>
      <c r="L28" s="8" t="b">
        <v>0</v>
      </c>
    </row>
    <row r="29" spans="1:12" ht="15.95">
      <c r="A29" s="20"/>
      <c r="B29" s="20"/>
      <c r="C29" s="20" t="s">
        <v>566</v>
      </c>
      <c r="D29" s="3"/>
      <c r="E29" s="13"/>
      <c r="F29" s="3" t="s">
        <v>6</v>
      </c>
      <c r="G29" s="10">
        <v>45808</v>
      </c>
      <c r="H29" s="3"/>
      <c r="I29" s="8" t="b">
        <v>0</v>
      </c>
      <c r="J29" s="10"/>
      <c r="K29" s="3"/>
      <c r="L29" s="8" t="b">
        <v>0</v>
      </c>
    </row>
    <row r="30" spans="1:12" ht="15.95">
      <c r="A30" s="20"/>
      <c r="B30" s="20"/>
      <c r="C30" s="20" t="s">
        <v>863</v>
      </c>
      <c r="D30" s="3"/>
      <c r="E30" s="13"/>
      <c r="F30" s="3" t="s">
        <v>6</v>
      </c>
      <c r="G30" s="10">
        <v>45808</v>
      </c>
      <c r="H30" s="3"/>
      <c r="I30" s="8" t="b">
        <v>0</v>
      </c>
      <c r="J30" s="10"/>
      <c r="K30" s="3"/>
      <c r="L30" s="8" t="b">
        <v>0</v>
      </c>
    </row>
    <row r="31" spans="1:12" ht="15.95">
      <c r="A31" s="20"/>
      <c r="B31" s="20"/>
      <c r="C31" s="20" t="s">
        <v>568</v>
      </c>
      <c r="D31" s="3"/>
      <c r="E31" s="13"/>
      <c r="F31" s="3" t="s">
        <v>6</v>
      </c>
      <c r="G31" s="10">
        <v>45808</v>
      </c>
      <c r="H31" s="3"/>
      <c r="I31" s="8" t="b">
        <v>1</v>
      </c>
      <c r="J31" s="10"/>
      <c r="K31" s="3"/>
      <c r="L31" s="8" t="b">
        <v>0</v>
      </c>
    </row>
    <row r="32" spans="1:12" ht="15.95">
      <c r="A32" s="20"/>
      <c r="B32" s="20"/>
      <c r="C32" s="20" t="s">
        <v>569</v>
      </c>
      <c r="D32" s="3"/>
      <c r="E32" s="13"/>
      <c r="F32" s="3" t="s">
        <v>6</v>
      </c>
      <c r="G32" s="10">
        <v>45808</v>
      </c>
      <c r="H32" s="3"/>
      <c r="I32" s="8" t="b">
        <v>1</v>
      </c>
      <c r="J32" s="10"/>
      <c r="K32" s="3"/>
      <c r="L32" s="8" t="b">
        <v>0</v>
      </c>
    </row>
    <row r="33" spans="1:12" ht="15.95">
      <c r="A33" s="20"/>
      <c r="B33" s="20"/>
      <c r="C33" s="20" t="s">
        <v>864</v>
      </c>
      <c r="D33" s="3"/>
      <c r="E33" s="13"/>
      <c r="F33" s="3" t="s">
        <v>6</v>
      </c>
      <c r="G33" s="10">
        <v>45808</v>
      </c>
      <c r="H33" s="3"/>
      <c r="I33" s="8" t="b">
        <v>1</v>
      </c>
      <c r="J33" s="10"/>
      <c r="K33" s="3"/>
      <c r="L33" s="8" t="b">
        <v>0</v>
      </c>
    </row>
    <row r="34" spans="1:12" ht="15.95">
      <c r="A34" s="20"/>
      <c r="B34" s="20"/>
      <c r="C34" s="20" t="s">
        <v>1002</v>
      </c>
      <c r="D34" s="3"/>
      <c r="E34" s="13"/>
      <c r="F34" s="3" t="s">
        <v>138</v>
      </c>
      <c r="G34" s="10">
        <v>45808</v>
      </c>
      <c r="H34" s="3"/>
      <c r="I34" s="8" t="b">
        <v>1</v>
      </c>
      <c r="J34" s="10"/>
      <c r="K34" s="3"/>
      <c r="L34" s="8" t="b">
        <v>0</v>
      </c>
    </row>
    <row r="35" spans="1:12" s="48" customFormat="1" ht="15.95">
      <c r="A35" s="31"/>
      <c r="B35" s="31"/>
      <c r="C35" s="31" t="s">
        <v>1003</v>
      </c>
      <c r="D35" s="15"/>
      <c r="E35" s="33"/>
      <c r="F35" s="15" t="s">
        <v>745</v>
      </c>
      <c r="G35" s="35"/>
      <c r="H35" s="15"/>
      <c r="I35" s="37" t="b">
        <v>0</v>
      </c>
      <c r="J35" s="35"/>
      <c r="K35" s="15"/>
      <c r="L35" s="37" t="b">
        <v>0</v>
      </c>
    </row>
    <row r="36" spans="1:12" ht="15.95">
      <c r="A36" s="20"/>
      <c r="B36" s="20"/>
      <c r="C36" s="20" t="s">
        <v>87</v>
      </c>
      <c r="D36" s="3"/>
      <c r="E36" s="13"/>
      <c r="F36" s="3" t="s">
        <v>6</v>
      </c>
      <c r="G36" s="10">
        <v>45808</v>
      </c>
      <c r="H36" s="3"/>
      <c r="I36" s="8" t="b">
        <v>1</v>
      </c>
      <c r="J36" s="10"/>
      <c r="K36" s="3"/>
      <c r="L36" s="8" t="b">
        <v>0</v>
      </c>
    </row>
    <row r="37" spans="1:12" ht="15.95">
      <c r="A37" s="20"/>
      <c r="B37" s="20"/>
      <c r="C37" s="20" t="s">
        <v>865</v>
      </c>
      <c r="D37" s="3"/>
      <c r="E37" s="13"/>
      <c r="F37" s="3" t="s">
        <v>6</v>
      </c>
      <c r="G37" s="10">
        <v>45808</v>
      </c>
      <c r="H37" s="3"/>
      <c r="I37" s="8" t="b">
        <v>1</v>
      </c>
      <c r="J37" s="10"/>
      <c r="K37" s="3"/>
      <c r="L37" s="8" t="b">
        <v>0</v>
      </c>
    </row>
    <row r="38" spans="1:12" ht="15.95">
      <c r="A38" s="20"/>
      <c r="B38" s="20"/>
      <c r="C38" s="20" t="s">
        <v>471</v>
      </c>
      <c r="D38" s="3"/>
      <c r="E38" s="13"/>
      <c r="F38" s="3" t="s">
        <v>6</v>
      </c>
      <c r="G38" s="10">
        <v>45808</v>
      </c>
      <c r="H38" s="3"/>
      <c r="I38" s="8" t="b">
        <v>1</v>
      </c>
      <c r="J38" s="10"/>
      <c r="K38" s="3"/>
      <c r="L38" s="8" t="b">
        <v>0</v>
      </c>
    </row>
    <row r="39" spans="1:12" ht="15.95">
      <c r="A39" s="20"/>
      <c r="B39" s="20"/>
      <c r="C39" s="20" t="s">
        <v>573</v>
      </c>
      <c r="D39" s="3"/>
      <c r="E39" s="13"/>
      <c r="F39" s="3" t="s">
        <v>6</v>
      </c>
      <c r="G39" s="10">
        <v>45808</v>
      </c>
      <c r="H39" s="3"/>
      <c r="I39" s="8" t="b">
        <v>1</v>
      </c>
      <c r="J39" s="10"/>
      <c r="K39" s="3"/>
      <c r="L39" s="8" t="b">
        <v>0</v>
      </c>
    </row>
    <row r="40" spans="1:12" ht="15.95">
      <c r="A40" s="20"/>
      <c r="B40" s="20"/>
      <c r="C40" s="20" t="s">
        <v>574</v>
      </c>
      <c r="D40" s="3"/>
      <c r="E40" s="13">
        <v>102.83</v>
      </c>
      <c r="F40" s="3" t="s">
        <v>890</v>
      </c>
      <c r="G40" s="10">
        <v>45820</v>
      </c>
      <c r="H40" s="3"/>
      <c r="I40" s="8" t="b">
        <v>1</v>
      </c>
      <c r="J40" s="10"/>
      <c r="K40" s="3"/>
      <c r="L40" s="8" t="b">
        <v>0</v>
      </c>
    </row>
    <row r="41" spans="1:12" ht="15.95">
      <c r="A41" s="20"/>
      <c r="B41" s="20"/>
      <c r="C41" s="20"/>
      <c r="D41" s="3"/>
      <c r="E41" s="13"/>
      <c r="F41" s="3"/>
      <c r="G41" s="10"/>
      <c r="H41" s="3"/>
      <c r="I41" s="8" t="b">
        <v>0</v>
      </c>
      <c r="J41" s="10"/>
      <c r="K41" s="3"/>
      <c r="L41" s="8" t="b">
        <v>0</v>
      </c>
    </row>
    <row r="42" spans="1:12" ht="15.95">
      <c r="A42" s="20" t="s">
        <v>354</v>
      </c>
      <c r="B42" s="20"/>
      <c r="C42" s="20" t="s">
        <v>867</v>
      </c>
      <c r="D42" s="3"/>
      <c r="E42" s="13">
        <v>4731.03</v>
      </c>
      <c r="F42" s="3" t="s">
        <v>138</v>
      </c>
      <c r="G42" s="10">
        <v>45820</v>
      </c>
      <c r="H42" s="3"/>
      <c r="I42" s="8" t="b">
        <v>1</v>
      </c>
      <c r="J42" s="3"/>
      <c r="K42" s="3"/>
      <c r="L42" s="8" t="b">
        <v>0</v>
      </c>
    </row>
    <row r="43" spans="1:12" ht="15.95">
      <c r="A43" s="20" t="s">
        <v>354</v>
      </c>
      <c r="B43" s="20"/>
      <c r="C43" s="20" t="s">
        <v>868</v>
      </c>
      <c r="D43" s="3"/>
      <c r="E43" s="13"/>
      <c r="F43" s="3" t="s">
        <v>138</v>
      </c>
      <c r="G43" s="10">
        <v>45820</v>
      </c>
      <c r="H43" s="3"/>
      <c r="I43" s="8" t="b">
        <v>1</v>
      </c>
      <c r="J43" s="3"/>
      <c r="K43" s="3"/>
      <c r="L43" s="8" t="b">
        <v>0</v>
      </c>
    </row>
    <row r="44" spans="1:12" ht="15.95">
      <c r="A44" s="20" t="s">
        <v>354</v>
      </c>
      <c r="B44" s="20"/>
      <c r="C44" s="20" t="s">
        <v>869</v>
      </c>
      <c r="D44" s="3"/>
      <c r="E44" s="13"/>
      <c r="F44" s="3" t="s">
        <v>138</v>
      </c>
      <c r="G44" s="10">
        <v>45820</v>
      </c>
      <c r="H44" s="3"/>
      <c r="I44" s="8" t="b">
        <v>1</v>
      </c>
      <c r="J44" s="3"/>
      <c r="K44" s="3"/>
      <c r="L44" s="8" t="b">
        <v>0</v>
      </c>
    </row>
    <row r="45" spans="1:12" ht="15.95">
      <c r="A45" s="20" t="s">
        <v>354</v>
      </c>
      <c r="B45" s="20"/>
      <c r="C45" s="20" t="s">
        <v>870</v>
      </c>
      <c r="D45" s="3"/>
      <c r="E45" s="13">
        <v>188.57</v>
      </c>
      <c r="F45" s="3" t="s">
        <v>549</v>
      </c>
      <c r="G45" s="10">
        <v>45846</v>
      </c>
      <c r="H45" s="3"/>
      <c r="I45" s="8" t="b">
        <v>0</v>
      </c>
      <c r="J45" s="3"/>
      <c r="K45" s="3"/>
      <c r="L45" s="8" t="b">
        <v>0</v>
      </c>
    </row>
    <row r="46" spans="1:12" ht="15.95">
      <c r="A46" s="20" t="s">
        <v>354</v>
      </c>
      <c r="B46" s="20"/>
      <c r="C46" s="20" t="s">
        <v>871</v>
      </c>
      <c r="D46" s="3"/>
      <c r="E46" s="13"/>
      <c r="F46" s="3"/>
      <c r="G46" s="10"/>
      <c r="H46" s="3"/>
      <c r="I46" s="8" t="b">
        <v>0</v>
      </c>
      <c r="J46" s="3"/>
      <c r="K46" s="3"/>
      <c r="L46" s="8" t="b">
        <v>0</v>
      </c>
    </row>
    <row r="47" spans="1:12" ht="15.95">
      <c r="A47" s="20" t="s">
        <v>354</v>
      </c>
      <c r="B47" s="20"/>
      <c r="C47" s="20" t="s">
        <v>872</v>
      </c>
      <c r="D47" s="3"/>
      <c r="E47" s="13"/>
      <c r="F47" s="3" t="s">
        <v>138</v>
      </c>
      <c r="G47" s="10"/>
      <c r="H47" s="3"/>
      <c r="I47" s="8" t="b">
        <v>1</v>
      </c>
      <c r="J47" s="3"/>
      <c r="K47" s="3"/>
      <c r="L47" s="8" t="b">
        <v>0</v>
      </c>
    </row>
    <row r="48" spans="1:12" ht="15.95">
      <c r="A48" s="20"/>
      <c r="B48" s="20"/>
      <c r="C48" s="20"/>
      <c r="D48" s="3"/>
      <c r="E48" s="13"/>
      <c r="F48" s="3"/>
      <c r="G48" s="10"/>
      <c r="H48" s="3"/>
      <c r="I48" s="1"/>
      <c r="J48" s="3"/>
      <c r="K48" s="3"/>
      <c r="L48" s="1"/>
    </row>
    <row r="49" spans="1:15" ht="15.95">
      <c r="A49" s="20"/>
      <c r="B49" s="20"/>
      <c r="C49" s="20"/>
      <c r="D49" s="3"/>
      <c r="E49" s="13"/>
      <c r="F49" s="3"/>
      <c r="G49" s="10"/>
      <c r="H49" s="3"/>
      <c r="I49" s="1"/>
      <c r="J49" s="3"/>
      <c r="K49" s="3"/>
      <c r="L49" s="1"/>
      <c r="M49" s="3"/>
      <c r="N49" s="3"/>
      <c r="O49" s="3"/>
    </row>
    <row r="50" spans="1:15" ht="15.95">
      <c r="A50" s="20" t="s">
        <v>324</v>
      </c>
      <c r="B50" s="20"/>
      <c r="C50" s="20" t="s">
        <v>1004</v>
      </c>
      <c r="D50" s="3"/>
      <c r="E50" s="13">
        <v>517</v>
      </c>
      <c r="F50" s="3" t="s">
        <v>1005</v>
      </c>
      <c r="G50" s="10">
        <v>45814</v>
      </c>
      <c r="H50" s="3"/>
      <c r="I50" s="8" t="b">
        <v>0</v>
      </c>
      <c r="J50" s="3"/>
      <c r="K50" s="3"/>
      <c r="L50" s="8" t="b">
        <v>0</v>
      </c>
      <c r="M50" s="3"/>
      <c r="N50" s="3"/>
      <c r="O50" s="3"/>
    </row>
    <row r="51" spans="1:15" ht="15.95">
      <c r="A51" s="20"/>
      <c r="B51" s="20"/>
      <c r="C51" s="20" t="s">
        <v>1006</v>
      </c>
      <c r="D51" s="3"/>
      <c r="E51" s="13">
        <v>566.5</v>
      </c>
      <c r="F51" s="3" t="s">
        <v>1005</v>
      </c>
      <c r="G51" s="10">
        <v>45819</v>
      </c>
      <c r="H51" s="3"/>
      <c r="I51" s="8" t="b">
        <v>0</v>
      </c>
      <c r="J51" s="3"/>
      <c r="K51" s="3"/>
      <c r="L51" s="8" t="b">
        <v>0</v>
      </c>
      <c r="M51" s="3"/>
      <c r="N51" s="3"/>
      <c r="O51" s="3"/>
    </row>
    <row r="52" spans="1:15" ht="15.95">
      <c r="A52" s="20"/>
      <c r="B52" s="20"/>
      <c r="C52" s="20" t="s">
        <v>1007</v>
      </c>
      <c r="D52" s="3"/>
      <c r="E52" s="13">
        <v>584.45000000000005</v>
      </c>
      <c r="F52" s="3" t="s">
        <v>1008</v>
      </c>
      <c r="G52" s="10">
        <v>45810</v>
      </c>
      <c r="H52" s="3"/>
      <c r="I52" s="8" t="b">
        <v>0</v>
      </c>
      <c r="J52" s="3"/>
      <c r="K52" s="3"/>
      <c r="L52" s="8" t="b">
        <v>0</v>
      </c>
      <c r="M52" s="3"/>
      <c r="N52" s="3"/>
      <c r="O52" s="3"/>
    </row>
    <row r="53" spans="1:15" ht="15.95">
      <c r="A53" s="20"/>
      <c r="B53" s="20"/>
      <c r="C53" s="20" t="s">
        <v>1009</v>
      </c>
      <c r="D53" s="3"/>
      <c r="E53" s="13"/>
      <c r="F53" s="3"/>
      <c r="G53" s="10"/>
      <c r="H53" s="3"/>
      <c r="I53" s="8" t="b">
        <v>0</v>
      </c>
      <c r="J53" s="3"/>
      <c r="K53" s="3"/>
      <c r="L53" s="8" t="b">
        <v>0</v>
      </c>
      <c r="M53" s="3"/>
      <c r="N53" s="3"/>
      <c r="O53" s="3"/>
    </row>
    <row r="54" spans="1:15" ht="15.95">
      <c r="A54" s="20"/>
      <c r="B54" s="20"/>
      <c r="C54" s="20"/>
      <c r="D54" s="3"/>
      <c r="E54" s="13"/>
      <c r="F54" s="3"/>
      <c r="G54" s="10"/>
      <c r="H54" s="3"/>
      <c r="I54" s="8" t="b">
        <v>0</v>
      </c>
      <c r="J54" s="3"/>
      <c r="K54" s="3"/>
      <c r="L54" s="8" t="b">
        <v>0</v>
      </c>
      <c r="M54" s="3"/>
      <c r="N54" s="3"/>
      <c r="O54" s="3"/>
    </row>
    <row r="55" spans="1:15" ht="15.95">
      <c r="A55" s="20"/>
      <c r="B55" s="20"/>
      <c r="C55" s="20"/>
      <c r="D55" s="3"/>
      <c r="E55" s="13"/>
      <c r="F55" s="3"/>
      <c r="G55" s="10"/>
      <c r="H55" s="3"/>
      <c r="I55" s="8" t="b">
        <v>0</v>
      </c>
      <c r="J55" s="3"/>
      <c r="K55" s="3"/>
      <c r="L55" s="8" t="b">
        <v>0</v>
      </c>
      <c r="M55" s="3"/>
      <c r="N55" s="3"/>
      <c r="O55" s="3"/>
    </row>
    <row r="56" spans="1:15" ht="15.95">
      <c r="A56" s="20"/>
      <c r="B56" s="20"/>
      <c r="C56" s="20"/>
      <c r="D56" s="3"/>
      <c r="E56" s="1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.95">
      <c r="A57" s="20" t="s">
        <v>1010</v>
      </c>
      <c r="B57" s="20"/>
      <c r="C57" s="20" t="s">
        <v>1011</v>
      </c>
      <c r="D57" s="3"/>
      <c r="E57" s="13">
        <v>1200.06</v>
      </c>
      <c r="F57" s="3"/>
      <c r="G57" s="10">
        <v>45810</v>
      </c>
      <c r="H57" s="3"/>
      <c r="I57" s="18" t="s">
        <v>586</v>
      </c>
      <c r="J57" s="3"/>
      <c r="K57" s="3"/>
      <c r="L57" s="18"/>
      <c r="M57" s="3"/>
      <c r="N57" s="3"/>
      <c r="O57" s="3"/>
    </row>
    <row r="58" spans="1:15" ht="15.95">
      <c r="A58" s="20"/>
      <c r="B58" s="20"/>
      <c r="C58" s="20"/>
      <c r="D58" s="3"/>
      <c r="E58" s="13"/>
      <c r="F58" s="3"/>
      <c r="G58" s="3"/>
      <c r="H58" s="3"/>
      <c r="I58" s="18"/>
      <c r="J58" s="3"/>
      <c r="K58" s="3"/>
      <c r="L58" s="18"/>
      <c r="M58" s="3"/>
      <c r="N58" s="3"/>
      <c r="O58" s="3"/>
    </row>
    <row r="59" spans="1:15" ht="15.95">
      <c r="A59" s="20" t="s">
        <v>407</v>
      </c>
      <c r="B59" s="20"/>
      <c r="C59" s="20" t="s">
        <v>576</v>
      </c>
      <c r="D59" s="3"/>
      <c r="E59" s="13">
        <v>15705.8</v>
      </c>
      <c r="F59" s="3" t="s">
        <v>1012</v>
      </c>
      <c r="G59" s="10">
        <v>45716</v>
      </c>
      <c r="H59" s="3"/>
      <c r="I59" s="8" t="b">
        <v>1</v>
      </c>
      <c r="J59" s="3"/>
      <c r="K59" s="3"/>
      <c r="L59" s="8" t="b">
        <v>0</v>
      </c>
      <c r="M59" s="3"/>
      <c r="N59" s="3"/>
      <c r="O59" s="3"/>
    </row>
    <row r="60" spans="1:15" ht="15.95">
      <c r="A60" s="20" t="s">
        <v>801</v>
      </c>
      <c r="B60" s="20"/>
      <c r="C60" s="21" t="s">
        <v>1013</v>
      </c>
      <c r="D60" s="3"/>
      <c r="E60" s="49">
        <v>6141</v>
      </c>
      <c r="F60" s="3" t="s">
        <v>1014</v>
      </c>
      <c r="G60" s="10">
        <v>45821</v>
      </c>
      <c r="H60" s="3"/>
      <c r="I60" s="1" t="s">
        <v>586</v>
      </c>
      <c r="J60" s="3"/>
      <c r="K60" s="3"/>
      <c r="L60" s="1"/>
      <c r="M60" s="3"/>
      <c r="N60" s="3"/>
      <c r="O60" s="3"/>
    </row>
    <row r="61" spans="1:15" ht="15.95">
      <c r="A61" s="20"/>
      <c r="B61" s="20"/>
      <c r="C61" s="21"/>
      <c r="D61" s="3"/>
      <c r="E61" s="13"/>
      <c r="F61" s="3"/>
      <c r="G61" s="10"/>
      <c r="H61" s="3"/>
      <c r="I61" s="1"/>
      <c r="J61" s="3"/>
      <c r="K61" s="3"/>
      <c r="L61" s="1"/>
      <c r="M61" s="3"/>
      <c r="N61" s="3"/>
      <c r="O61" s="3"/>
    </row>
    <row r="62" spans="1:15" ht="15.95">
      <c r="A62" s="20" t="s">
        <v>809</v>
      </c>
      <c r="B62" s="20"/>
      <c r="C62" s="21"/>
      <c r="D62" s="3"/>
      <c r="E62" s="13">
        <v>4637.42</v>
      </c>
      <c r="F62" s="3" t="s">
        <v>745</v>
      </c>
      <c r="G62" s="10">
        <v>45855</v>
      </c>
      <c r="H62" s="3"/>
      <c r="I62" s="1"/>
      <c r="J62" s="3"/>
      <c r="K62" s="3"/>
      <c r="L62" s="1"/>
      <c r="M62" s="3"/>
      <c r="N62" s="3"/>
      <c r="O62" s="3"/>
    </row>
    <row r="63" spans="1:15" ht="15.95">
      <c r="A63" s="20"/>
      <c r="B63" s="20"/>
      <c r="C63" s="20"/>
      <c r="D63" s="3"/>
      <c r="E63" s="13"/>
      <c r="F63" s="3"/>
      <c r="G63" s="3"/>
      <c r="H63" s="3"/>
      <c r="I63" s="1"/>
      <c r="J63" s="3"/>
      <c r="K63" s="3"/>
      <c r="L63" s="1"/>
      <c r="M63" s="3"/>
      <c r="N63" s="3"/>
      <c r="O63" s="3"/>
    </row>
    <row r="64" spans="1:15" ht="15.95">
      <c r="A64" s="20" t="s">
        <v>411</v>
      </c>
      <c r="B64" s="20"/>
      <c r="C64" s="20" t="s">
        <v>1015</v>
      </c>
      <c r="D64" s="3"/>
      <c r="E64" s="13"/>
      <c r="F64" s="3" t="s">
        <v>599</v>
      </c>
      <c r="G64" s="10">
        <v>45822</v>
      </c>
      <c r="H64" s="3"/>
      <c r="I64" s="8" t="b">
        <v>1</v>
      </c>
      <c r="J64" s="3"/>
      <c r="K64" s="3"/>
      <c r="L64" s="8" t="b">
        <v>0</v>
      </c>
      <c r="M64" s="3"/>
      <c r="N64" s="3"/>
      <c r="O64" s="3"/>
    </row>
    <row r="65" spans="1:15" ht="15.95">
      <c r="A65" s="20"/>
      <c r="B65" s="20"/>
      <c r="C65" s="20" t="s">
        <v>1016</v>
      </c>
      <c r="D65" s="3"/>
      <c r="E65" s="13"/>
      <c r="F65" s="3"/>
      <c r="G65" s="3"/>
      <c r="H65" s="3"/>
      <c r="I65" s="1"/>
      <c r="J65" s="3"/>
      <c r="K65" s="3"/>
      <c r="L65" s="1"/>
      <c r="M65" s="3"/>
      <c r="N65" s="3"/>
      <c r="O65" s="3"/>
    </row>
    <row r="66" spans="1:15" ht="15.95">
      <c r="A66" s="20"/>
      <c r="B66" s="20"/>
      <c r="C66" s="3"/>
      <c r="D66" s="3"/>
      <c r="E66" s="13"/>
      <c r="F66" s="3"/>
      <c r="G66" s="10"/>
      <c r="H66" s="3"/>
      <c r="I66" s="8" t="b">
        <v>0</v>
      </c>
      <c r="J66" s="3"/>
      <c r="K66" s="3"/>
      <c r="L66" s="8" t="b">
        <v>0</v>
      </c>
      <c r="M66" s="3"/>
      <c r="N66" s="3"/>
      <c r="O66" s="3"/>
    </row>
    <row r="67" spans="1:15" ht="15.95">
      <c r="A67" s="20" t="s">
        <v>657</v>
      </c>
      <c r="B67" s="20"/>
      <c r="C67" s="20" t="s">
        <v>1017</v>
      </c>
      <c r="D67" s="3"/>
      <c r="E67" s="13">
        <v>34411</v>
      </c>
      <c r="F67" s="3" t="s">
        <v>1018</v>
      </c>
      <c r="G67" s="10">
        <v>45808</v>
      </c>
      <c r="H67" s="3"/>
      <c r="I67" s="8" t="b">
        <v>1</v>
      </c>
      <c r="J67" s="3"/>
      <c r="K67" s="3"/>
      <c r="L67" s="8" t="b">
        <v>0</v>
      </c>
      <c r="M67" s="3"/>
      <c r="N67" s="3"/>
      <c r="O67" s="3"/>
    </row>
    <row r="68" spans="1:15" ht="15.95">
      <c r="A68" s="20"/>
      <c r="B68" s="20"/>
      <c r="C68" s="20" t="s">
        <v>1019</v>
      </c>
      <c r="D68" s="3"/>
      <c r="E68" s="13"/>
      <c r="F68" s="3"/>
      <c r="G68" s="3"/>
      <c r="H68" s="3"/>
      <c r="I68" s="8" t="b">
        <v>0</v>
      </c>
      <c r="J68" s="3"/>
      <c r="K68" s="3"/>
      <c r="L68" s="8" t="b">
        <v>0</v>
      </c>
      <c r="M68" s="3"/>
      <c r="N68" s="3"/>
      <c r="O68" s="3"/>
    </row>
    <row r="69" spans="1:15" ht="15.95">
      <c r="A69" s="20"/>
      <c r="B69" s="20"/>
      <c r="C69" s="20" t="s">
        <v>871</v>
      </c>
      <c r="D69" s="3"/>
      <c r="E69" s="13"/>
      <c r="F69" s="3"/>
      <c r="G69" s="3"/>
      <c r="H69" s="3"/>
      <c r="I69" s="8" t="b">
        <v>0</v>
      </c>
      <c r="J69" s="3"/>
      <c r="K69" s="3"/>
      <c r="L69" s="8" t="b">
        <v>0</v>
      </c>
      <c r="M69" s="3"/>
      <c r="N69" s="3"/>
      <c r="O69" s="3"/>
    </row>
    <row r="70" spans="1:15" ht="15.95">
      <c r="A70" s="20"/>
      <c r="B70" s="20"/>
      <c r="C70" s="20"/>
      <c r="D70" s="3"/>
      <c r="E70" s="13"/>
      <c r="F70" s="3"/>
      <c r="G70" s="3"/>
      <c r="H70" s="3"/>
      <c r="I70" s="8" t="b">
        <v>0</v>
      </c>
      <c r="J70" s="3"/>
      <c r="K70" s="3"/>
      <c r="L70" s="8" t="b">
        <v>0</v>
      </c>
      <c r="M70" s="3"/>
      <c r="N70" s="3"/>
      <c r="O70" s="3"/>
    </row>
    <row r="71" spans="1:15" ht="15.95">
      <c r="A71" s="20"/>
      <c r="B71" s="20"/>
      <c r="C71" s="20"/>
      <c r="D71" s="3"/>
      <c r="E71" s="13"/>
      <c r="F71" s="3"/>
      <c r="G71" s="3"/>
      <c r="H71" s="3"/>
      <c r="I71" s="1"/>
      <c r="J71" s="3"/>
      <c r="K71" s="3"/>
      <c r="L71" s="1"/>
      <c r="M71" s="3"/>
      <c r="N71" s="3"/>
      <c r="O71" s="3"/>
    </row>
    <row r="72" spans="1:15" ht="15.95">
      <c r="A72" s="20" t="s">
        <v>377</v>
      </c>
      <c r="B72" s="20"/>
      <c r="C72" s="20" t="s">
        <v>1020</v>
      </c>
      <c r="D72" s="3"/>
      <c r="E72" s="13"/>
      <c r="F72" s="22"/>
      <c r="G72" s="3"/>
      <c r="H72" s="3"/>
      <c r="I72" s="18"/>
      <c r="J72" s="3"/>
      <c r="K72" s="3"/>
      <c r="L72" s="18"/>
      <c r="M72" s="3"/>
      <c r="N72" s="3"/>
      <c r="O72" s="3"/>
    </row>
    <row r="73" spans="1:15" ht="15.95">
      <c r="A73" s="20" t="s">
        <v>377</v>
      </c>
      <c r="B73" s="20"/>
      <c r="C73" s="20" t="s">
        <v>1021</v>
      </c>
      <c r="D73" s="3"/>
      <c r="E73" s="13"/>
      <c r="F73" s="22"/>
      <c r="G73" s="3"/>
      <c r="H73" s="3"/>
      <c r="I73" s="18"/>
      <c r="J73" s="3"/>
      <c r="K73" s="3"/>
      <c r="L73" s="18"/>
      <c r="M73" s="3"/>
      <c r="N73" s="3"/>
      <c r="O73" s="3"/>
    </row>
    <row r="74" spans="1:15" ht="15.95">
      <c r="A74" s="20" t="s">
        <v>377</v>
      </c>
      <c r="B74" s="20"/>
      <c r="C74" s="20" t="s">
        <v>1022</v>
      </c>
      <c r="D74" s="3"/>
      <c r="E74" s="13"/>
      <c r="F74" s="22"/>
      <c r="G74" s="3"/>
      <c r="H74" s="3"/>
      <c r="I74" s="18"/>
      <c r="J74" s="3"/>
      <c r="K74" s="3"/>
      <c r="L74" s="18"/>
      <c r="M74" s="3"/>
      <c r="N74" s="3"/>
      <c r="O74" s="3"/>
    </row>
    <row r="75" spans="1:15" ht="15.95">
      <c r="A75" s="20" t="s">
        <v>377</v>
      </c>
      <c r="B75" s="20"/>
      <c r="C75" s="20" t="s">
        <v>999</v>
      </c>
      <c r="D75" s="3"/>
      <c r="E75" s="13"/>
      <c r="F75" s="22"/>
      <c r="G75" s="3"/>
      <c r="H75" s="3"/>
      <c r="I75" s="18"/>
      <c r="J75" s="3"/>
      <c r="K75" s="3"/>
      <c r="L75" s="18"/>
      <c r="M75" s="3"/>
      <c r="N75" s="3"/>
      <c r="O75" s="3"/>
    </row>
    <row r="76" spans="1:15" ht="15.95">
      <c r="A76" s="20"/>
      <c r="B76" s="20"/>
      <c r="C76" s="20"/>
      <c r="D76" s="3"/>
      <c r="E76" s="13"/>
      <c r="F76" s="3"/>
      <c r="G76" s="3"/>
      <c r="H76" s="3"/>
      <c r="I76" s="18"/>
      <c r="J76" s="3"/>
      <c r="K76" s="3"/>
      <c r="L76" s="18"/>
      <c r="M76" s="3"/>
      <c r="N76" s="3"/>
      <c r="O76" s="3"/>
    </row>
    <row r="77" spans="1:15" ht="15.95">
      <c r="A77" s="20"/>
      <c r="B77" s="20"/>
      <c r="C77" s="20"/>
      <c r="D77" s="3"/>
      <c r="E77" s="13"/>
      <c r="F77" s="3"/>
      <c r="G77" s="3"/>
      <c r="H77" s="3"/>
      <c r="I77" s="1"/>
      <c r="J77" s="3"/>
      <c r="K77" s="3"/>
      <c r="L77" s="1"/>
      <c r="M77" s="3"/>
      <c r="N77" s="3"/>
      <c r="O77" s="3"/>
    </row>
    <row r="78" spans="1:15" ht="15.95">
      <c r="A78" s="20"/>
      <c r="B78" s="20"/>
      <c r="C78" s="20"/>
      <c r="D78" s="3"/>
      <c r="E78" s="13"/>
      <c r="F78" s="3"/>
      <c r="G78" s="3"/>
      <c r="H78" s="3"/>
      <c r="I78" s="1"/>
      <c r="J78" s="3"/>
      <c r="K78" s="3"/>
      <c r="L78" s="1"/>
      <c r="M78" s="3"/>
      <c r="N78" s="3"/>
      <c r="O78" s="3"/>
    </row>
    <row r="79" spans="1:15" s="40" customFormat="1" ht="15.95">
      <c r="A79" s="5"/>
      <c r="B79" s="4"/>
      <c r="C79" s="5"/>
      <c r="D79" s="5"/>
      <c r="E79" s="11"/>
      <c r="F79" s="5"/>
      <c r="G79" s="5"/>
      <c r="H79" s="5"/>
      <c r="I79" s="1"/>
      <c r="J79" s="5"/>
      <c r="K79" s="5"/>
      <c r="L79" s="1"/>
      <c r="M79" s="5"/>
      <c r="N79" s="5"/>
      <c r="O79" s="5"/>
    </row>
    <row r="80" spans="1:15" s="40" customFormat="1" ht="15.95">
      <c r="A80" s="5"/>
      <c r="B80" s="4"/>
      <c r="C80" s="5"/>
      <c r="D80" s="5"/>
      <c r="E80" s="11"/>
      <c r="F80" s="5"/>
      <c r="G80" s="5"/>
      <c r="H80" s="5"/>
      <c r="I80" s="1"/>
      <c r="J80" s="5"/>
      <c r="K80" s="5"/>
      <c r="L80" s="1"/>
      <c r="M80" s="5"/>
      <c r="N80" s="5"/>
      <c r="O80" s="5"/>
    </row>
    <row r="81" spans="1:15" s="40" customFormat="1" ht="15.95">
      <c r="A81" s="5"/>
      <c r="B81" s="1"/>
      <c r="C81" s="3"/>
      <c r="D81" s="5"/>
      <c r="E81" s="11">
        <f>SUM(E2:E80)</f>
        <v>108305.09</v>
      </c>
      <c r="F81" s="5"/>
      <c r="G81" s="5"/>
      <c r="H81" s="5"/>
      <c r="I81" s="1"/>
      <c r="J81" s="5"/>
      <c r="K81" s="5"/>
      <c r="L81" s="1"/>
      <c r="M81" s="5"/>
      <c r="N81" s="5"/>
      <c r="O81" s="5"/>
    </row>
    <row r="82" spans="1:15" s="40" customFormat="1" ht="15.95">
      <c r="A82" s="5"/>
      <c r="B82" s="1"/>
      <c r="C82" s="3"/>
      <c r="D82" s="5"/>
      <c r="E82" s="11"/>
      <c r="F82" s="5"/>
      <c r="G82" s="5"/>
      <c r="H82" s="5"/>
      <c r="I82" s="1"/>
      <c r="J82" s="5"/>
      <c r="K82" s="5"/>
      <c r="L82" s="1"/>
      <c r="M82" s="5"/>
      <c r="N82" s="5"/>
      <c r="O82" s="5"/>
    </row>
    <row r="83" spans="1:15" s="40" customFormat="1" ht="15.95">
      <c r="A83" s="5"/>
      <c r="B83" s="1"/>
      <c r="C83" s="3"/>
      <c r="D83" s="5"/>
      <c r="E83" s="11"/>
      <c r="F83" s="5"/>
      <c r="G83" s="5"/>
      <c r="H83" s="5"/>
      <c r="I83" s="1"/>
      <c r="J83" s="5"/>
      <c r="K83" s="5"/>
      <c r="L83" s="1"/>
      <c r="M83" s="5"/>
      <c r="N83" s="5"/>
      <c r="O83" s="5"/>
    </row>
    <row r="84" spans="1:15" s="40" customFormat="1" ht="15.95">
      <c r="A84" s="5"/>
      <c r="B84" s="1"/>
      <c r="C84" s="3"/>
      <c r="D84" s="5"/>
      <c r="E84" s="11"/>
      <c r="F84" s="5"/>
      <c r="G84" s="5"/>
      <c r="H84" s="5"/>
      <c r="I84" s="1"/>
      <c r="J84" s="5"/>
      <c r="K84" s="5"/>
      <c r="L84" s="1"/>
      <c r="M84" s="5"/>
      <c r="N84" s="5"/>
      <c r="O84" s="5"/>
    </row>
    <row r="85" spans="1:15" ht="15.95">
      <c r="A85" s="3"/>
      <c r="B85" s="1"/>
      <c r="C85" s="3"/>
      <c r="D85" s="3"/>
      <c r="E85" s="13"/>
      <c r="F85" s="3"/>
      <c r="G85" s="3"/>
      <c r="H85" s="3"/>
      <c r="I85" s="1"/>
      <c r="J85" s="3"/>
      <c r="K85" s="3"/>
      <c r="L85" s="1"/>
      <c r="M85" s="3"/>
      <c r="N85" s="3"/>
      <c r="O85" s="3"/>
    </row>
    <row r="86" spans="1:15" ht="15.95">
      <c r="A86" s="3"/>
      <c r="B86" s="1"/>
      <c r="C86" s="3"/>
      <c r="D86" s="3"/>
      <c r="E86" s="13"/>
      <c r="F86" s="3"/>
      <c r="G86" s="3"/>
      <c r="H86" s="3"/>
      <c r="I86" s="1"/>
      <c r="J86" s="3"/>
      <c r="K86" s="3"/>
      <c r="L86" s="1"/>
      <c r="M86" s="3"/>
      <c r="N86" s="3"/>
      <c r="O86" s="3"/>
    </row>
    <row r="87" spans="1:15" ht="15.95">
      <c r="A87" s="3"/>
      <c r="B87" s="1"/>
      <c r="C87" s="3"/>
      <c r="D87" s="3"/>
      <c r="E87" s="13"/>
      <c r="F87" s="3"/>
      <c r="G87" s="3"/>
      <c r="H87" s="3"/>
      <c r="I87" s="1"/>
      <c r="J87" s="3"/>
      <c r="K87" s="3"/>
      <c r="L87" s="1"/>
      <c r="M87" s="3"/>
      <c r="N87" s="3"/>
      <c r="O87" s="3"/>
    </row>
    <row r="88" spans="1:15" ht="15.95">
      <c r="A88" s="3"/>
      <c r="B88" s="1"/>
      <c r="C88" s="3"/>
      <c r="D88" s="3"/>
      <c r="E88" s="13"/>
      <c r="F88" s="3"/>
      <c r="G88" s="3"/>
      <c r="H88" s="3"/>
      <c r="I88" s="1"/>
      <c r="J88" s="3"/>
      <c r="K88" s="3"/>
      <c r="L88" s="1"/>
      <c r="M88" s="3"/>
      <c r="N88" s="3"/>
      <c r="O88" s="3"/>
    </row>
    <row r="89" spans="1:15" ht="15.95">
      <c r="A89" s="3"/>
      <c r="B89" s="1"/>
      <c r="C89" s="3"/>
      <c r="D89" s="3"/>
      <c r="E89" s="13"/>
      <c r="F89" s="3"/>
      <c r="G89" s="3"/>
      <c r="H89" s="3"/>
      <c r="I89" s="1"/>
      <c r="J89" s="3"/>
      <c r="K89" s="3"/>
      <c r="L89" s="1"/>
      <c r="M89" s="3"/>
      <c r="N89" s="3"/>
      <c r="O89" s="3"/>
    </row>
    <row r="90" spans="1:15" ht="15.95">
      <c r="A90" s="3"/>
      <c r="B90" s="18"/>
      <c r="C90" s="3"/>
      <c r="D90" s="3"/>
      <c r="E90" s="13"/>
      <c r="F90" s="3"/>
      <c r="G90" s="3"/>
      <c r="H90" s="3"/>
      <c r="I90" s="1"/>
      <c r="J90" s="3"/>
      <c r="K90" s="3"/>
      <c r="L90" s="1"/>
      <c r="M90" s="3"/>
      <c r="N90" s="3"/>
      <c r="O90" s="3"/>
    </row>
    <row r="91" spans="1:15" ht="15.95">
      <c r="A91" s="3"/>
      <c r="B91" s="1"/>
      <c r="C91" s="3"/>
      <c r="D91" s="3"/>
      <c r="E91" s="13"/>
      <c r="F91" s="3"/>
      <c r="G91" s="3"/>
      <c r="H91" s="3"/>
      <c r="I91" s="1"/>
      <c r="J91" s="3"/>
      <c r="K91" s="3"/>
      <c r="L91" s="1"/>
      <c r="M91" s="3"/>
      <c r="N91" s="3"/>
      <c r="O91" s="3"/>
    </row>
    <row r="92" spans="1:15" ht="15.95">
      <c r="A92" s="3"/>
      <c r="B92" s="1"/>
      <c r="C92" s="3"/>
      <c r="D92" s="3"/>
      <c r="E92" s="13"/>
      <c r="F92" s="3"/>
      <c r="G92" s="3"/>
      <c r="H92" s="3"/>
      <c r="I92" s="1"/>
      <c r="J92" s="3"/>
      <c r="K92" s="3"/>
      <c r="L92" s="1"/>
      <c r="M92" s="3"/>
      <c r="N92" s="3"/>
      <c r="O92" s="3"/>
    </row>
    <row r="93" spans="1:15" ht="15.95">
      <c r="A93" s="3"/>
      <c r="B93" s="1"/>
      <c r="C93" s="3"/>
      <c r="D93" s="3"/>
      <c r="E93" s="13"/>
      <c r="F93" s="3"/>
      <c r="G93" s="3"/>
      <c r="H93" s="3"/>
      <c r="I93" s="1"/>
      <c r="J93" s="3"/>
      <c r="K93" s="3"/>
      <c r="L93" s="1"/>
      <c r="M93" s="3"/>
      <c r="N93" s="3"/>
      <c r="O93" s="3"/>
    </row>
    <row r="94" spans="1:15" ht="15.95">
      <c r="A94" s="3"/>
      <c r="B94" s="1"/>
      <c r="C94" s="3"/>
      <c r="D94" s="3"/>
      <c r="E94" s="13"/>
      <c r="F94" s="3"/>
      <c r="G94" s="3"/>
      <c r="H94" s="3"/>
      <c r="I94" s="1"/>
      <c r="J94" s="3"/>
      <c r="K94" s="3"/>
      <c r="L94" s="1"/>
      <c r="M94" s="3"/>
      <c r="N94" s="3"/>
      <c r="O94" s="3"/>
    </row>
    <row r="95" spans="1:15" ht="15.95">
      <c r="A95" s="3"/>
      <c r="B95" s="1"/>
      <c r="C95" s="3"/>
      <c r="D95" s="3"/>
      <c r="E95" s="13"/>
      <c r="F95" s="3"/>
      <c r="G95" s="3"/>
      <c r="H95" s="3"/>
      <c r="I95" s="1"/>
      <c r="J95" s="3"/>
      <c r="K95" s="3"/>
      <c r="L95" s="1"/>
      <c r="M95" s="3"/>
      <c r="N95" s="3"/>
      <c r="O95" s="3"/>
    </row>
    <row r="96" spans="1:15" ht="15.95">
      <c r="A96" s="3"/>
      <c r="B96" s="1"/>
      <c r="C96" s="3"/>
      <c r="D96" s="3"/>
      <c r="E96" s="13"/>
      <c r="F96" s="3"/>
      <c r="G96" s="3"/>
      <c r="H96" s="3"/>
      <c r="I96" s="2"/>
      <c r="J96" s="3"/>
      <c r="K96" s="3"/>
      <c r="L96" s="2"/>
      <c r="M96" s="3"/>
      <c r="N96" s="3"/>
      <c r="O96" s="3"/>
    </row>
    <row r="97" spans="1:15" s="40" customFormat="1" ht="15.95">
      <c r="A97" s="5"/>
      <c r="B97" s="4"/>
      <c r="C97" s="5"/>
      <c r="D97" s="5"/>
      <c r="E97" s="11"/>
      <c r="F97" s="5"/>
      <c r="G97" s="5"/>
      <c r="H97" s="5"/>
      <c r="I97" s="14"/>
      <c r="J97" s="5"/>
      <c r="K97" s="5"/>
      <c r="L97" s="14"/>
      <c r="M97" s="5"/>
      <c r="N97" s="5"/>
      <c r="O97" s="5"/>
    </row>
    <row r="98" spans="1:15" s="40" customFormat="1" ht="15.95">
      <c r="A98" s="5"/>
      <c r="B98" s="4"/>
      <c r="C98" s="5"/>
      <c r="D98" s="5"/>
      <c r="E98" s="11"/>
      <c r="F98" s="5"/>
      <c r="G98" s="5"/>
      <c r="H98" s="5"/>
      <c r="I98" s="2"/>
      <c r="J98" s="5"/>
      <c r="K98" s="5"/>
      <c r="L98" s="2"/>
      <c r="M98" s="5"/>
      <c r="N98" s="5"/>
      <c r="O98" s="5"/>
    </row>
    <row r="99" spans="1:15" s="40" customFormat="1" ht="15.95">
      <c r="A99" s="5"/>
      <c r="B99" s="1"/>
      <c r="C99" s="3"/>
      <c r="D99" s="5"/>
      <c r="E99" s="11"/>
      <c r="F99" s="5"/>
      <c r="G99" s="5"/>
      <c r="H99" s="5"/>
      <c r="I99" s="4"/>
      <c r="J99" s="5"/>
      <c r="K99" s="5"/>
      <c r="L99" s="4"/>
      <c r="M99" s="5"/>
      <c r="N99" s="5"/>
      <c r="O99" s="5"/>
    </row>
    <row r="100" spans="1:15" s="40" customFormat="1" ht="15.95">
      <c r="A100" s="5"/>
      <c r="B100" s="1"/>
      <c r="C100" s="3"/>
      <c r="D100" s="5"/>
      <c r="E100" s="11"/>
      <c r="F100" s="5"/>
      <c r="G100" s="5"/>
      <c r="H100" s="5"/>
      <c r="I100" s="4"/>
      <c r="J100" s="5"/>
      <c r="K100" s="5"/>
      <c r="L100" s="4"/>
      <c r="M100" s="5"/>
      <c r="N100" s="5"/>
      <c r="O100" s="5"/>
    </row>
    <row r="101" spans="1:15" ht="15.95">
      <c r="A101" s="3"/>
      <c r="B101" s="1"/>
      <c r="C101" s="3"/>
      <c r="D101" s="3"/>
      <c r="E101" s="13"/>
      <c r="F101" s="3"/>
      <c r="G101" s="3"/>
      <c r="H101" s="3"/>
      <c r="I101" s="4"/>
      <c r="J101" s="3"/>
      <c r="K101" s="3"/>
      <c r="L101" s="4"/>
      <c r="M101" s="3"/>
      <c r="N101" s="3"/>
      <c r="O101" s="3"/>
    </row>
    <row r="102" spans="1:15" ht="15.95">
      <c r="A102" s="3"/>
      <c r="B102" s="1"/>
      <c r="C102" s="3"/>
      <c r="D102" s="3"/>
      <c r="E102" s="13"/>
      <c r="F102" s="3"/>
      <c r="G102" s="3"/>
      <c r="H102" s="3"/>
      <c r="I102" s="1"/>
      <c r="J102" s="3"/>
      <c r="K102" s="3"/>
      <c r="L102" s="1"/>
      <c r="M102" s="3"/>
      <c r="N102" s="3"/>
      <c r="O102" s="3"/>
    </row>
    <row r="103" spans="1:15" ht="15.95">
      <c r="A103" s="3"/>
      <c r="B103" s="1"/>
      <c r="C103" s="3"/>
      <c r="D103" s="3"/>
      <c r="E103" s="13"/>
      <c r="F103" s="3"/>
      <c r="G103" s="3"/>
      <c r="H103" s="3"/>
      <c r="I103" s="1"/>
      <c r="J103" s="3"/>
      <c r="K103" s="3"/>
      <c r="L103" s="1"/>
      <c r="M103" s="3"/>
      <c r="N103" s="3"/>
      <c r="O103" s="3"/>
    </row>
    <row r="104" spans="1:15" ht="15.95">
      <c r="A104" s="3"/>
      <c r="B104" s="1"/>
      <c r="C104" s="3"/>
      <c r="D104" s="3"/>
      <c r="E104" s="13"/>
      <c r="F104" s="3"/>
      <c r="G104" s="3"/>
      <c r="H104" s="3"/>
      <c r="I104" s="1"/>
      <c r="J104" s="3"/>
      <c r="K104" s="3"/>
      <c r="L104" s="1"/>
      <c r="M104" s="3"/>
      <c r="N104" s="3"/>
      <c r="O104" s="3"/>
    </row>
    <row r="105" spans="1:15" ht="15.95">
      <c r="A105" s="3"/>
      <c r="B105" s="1"/>
      <c r="C105" s="3"/>
      <c r="D105" s="3"/>
      <c r="E105" s="13"/>
      <c r="F105" s="3"/>
      <c r="G105" s="3"/>
      <c r="H105" s="3"/>
      <c r="I105" s="1"/>
      <c r="J105" s="3"/>
      <c r="K105" s="3"/>
      <c r="L105" s="1"/>
      <c r="M105" s="3"/>
      <c r="N105" s="3"/>
      <c r="O105" s="3"/>
    </row>
    <row r="106" spans="1:15" ht="15.95">
      <c r="A106" s="3"/>
      <c r="B106" s="1"/>
      <c r="C106" s="3"/>
      <c r="D106" s="3"/>
      <c r="E106" s="13"/>
      <c r="F106" s="3"/>
      <c r="G106" s="3"/>
      <c r="H106" s="3"/>
      <c r="I106" s="1"/>
      <c r="J106" s="3"/>
      <c r="K106" s="3"/>
      <c r="L106" s="1"/>
      <c r="M106" s="3"/>
      <c r="N106" s="3"/>
      <c r="O106" s="3"/>
    </row>
    <row r="107" spans="1:15" ht="15.95">
      <c r="A107" s="3"/>
      <c r="B107" s="1"/>
      <c r="C107" s="3"/>
      <c r="D107" s="3"/>
      <c r="E107" s="13"/>
      <c r="F107" s="3"/>
      <c r="G107" s="3"/>
      <c r="H107" s="3"/>
      <c r="I107" s="1"/>
      <c r="J107" s="3"/>
      <c r="K107" s="3"/>
      <c r="L107" s="1"/>
      <c r="M107" s="3"/>
      <c r="N107" s="3"/>
      <c r="O107" s="3"/>
    </row>
    <row r="108" spans="1:15" ht="15.95">
      <c r="A108" s="3"/>
      <c r="B108" s="1"/>
      <c r="C108" s="3"/>
      <c r="D108" s="3"/>
      <c r="E108" s="13"/>
      <c r="F108" s="3"/>
      <c r="G108" s="3"/>
      <c r="H108" s="3"/>
      <c r="I108" s="1"/>
      <c r="J108" s="3"/>
      <c r="K108" s="3"/>
      <c r="L108" s="1"/>
      <c r="M108" s="3"/>
      <c r="N108" s="3"/>
      <c r="O108" s="3"/>
    </row>
    <row r="109" spans="1:15" ht="15.95">
      <c r="A109" s="3"/>
      <c r="B109" s="1"/>
      <c r="C109" s="3"/>
      <c r="D109" s="3"/>
      <c r="E109" s="13"/>
      <c r="F109" s="3"/>
      <c r="G109" s="3"/>
      <c r="H109" s="3"/>
      <c r="I109" s="1"/>
      <c r="J109" s="3"/>
      <c r="K109" s="3"/>
      <c r="L109" s="1"/>
      <c r="M109" s="3"/>
      <c r="N109" s="3"/>
      <c r="O109" s="3"/>
    </row>
    <row r="110" spans="1:15" ht="15.95">
      <c r="A110" s="3"/>
      <c r="B110" s="1"/>
      <c r="C110" s="3"/>
      <c r="D110" s="3"/>
      <c r="E110" s="13"/>
      <c r="F110" s="3"/>
      <c r="G110" s="3"/>
      <c r="H110" s="3"/>
      <c r="I110" s="1"/>
      <c r="J110" s="3"/>
      <c r="K110" s="3"/>
      <c r="L110" s="1"/>
      <c r="M110" s="3"/>
      <c r="N110" s="3"/>
      <c r="O110" s="3"/>
    </row>
    <row r="111" spans="1:15" ht="15.95">
      <c r="A111" s="3"/>
      <c r="B111" s="1"/>
      <c r="C111" s="3"/>
      <c r="D111" s="3"/>
      <c r="E111" s="13"/>
      <c r="F111" s="3"/>
      <c r="G111" s="3"/>
      <c r="H111" s="3"/>
      <c r="I111" s="1"/>
      <c r="J111" s="3"/>
      <c r="K111" s="3"/>
      <c r="L111" s="1"/>
      <c r="M111" s="3"/>
      <c r="N111" s="3"/>
      <c r="O111" s="3"/>
    </row>
    <row r="112" spans="1:15" ht="15.95">
      <c r="A112" s="3"/>
      <c r="B112" s="3"/>
      <c r="C112" s="3"/>
      <c r="D112" s="3"/>
      <c r="E112" s="13"/>
      <c r="F112" s="3"/>
      <c r="G112" s="3"/>
      <c r="H112" s="3"/>
      <c r="I112" s="1"/>
      <c r="J112" s="3"/>
      <c r="K112" s="3"/>
      <c r="L112" s="1"/>
      <c r="M112" s="3"/>
      <c r="N112" s="3"/>
      <c r="O112" s="3"/>
    </row>
    <row r="113" spans="1:15" ht="15.95">
      <c r="A113" s="3"/>
      <c r="B113" s="3"/>
      <c r="C113" s="3"/>
      <c r="D113" s="3"/>
      <c r="E113" s="13"/>
      <c r="F113" s="3"/>
      <c r="G113" s="3"/>
      <c r="H113" s="3"/>
      <c r="I113" s="1"/>
      <c r="J113" s="3"/>
      <c r="K113" s="3"/>
      <c r="L113" s="1"/>
      <c r="M113" s="3"/>
      <c r="N113" s="3"/>
      <c r="O113" s="3"/>
    </row>
    <row r="114" spans="1:15" ht="15.95">
      <c r="A114" s="3"/>
      <c r="B114" s="3"/>
      <c r="C114" s="3"/>
      <c r="D114" s="3"/>
      <c r="E114" s="13"/>
      <c r="F114" s="3"/>
      <c r="G114" s="3"/>
      <c r="H114" s="3"/>
      <c r="I114" s="1"/>
      <c r="J114" s="3"/>
      <c r="K114" s="3"/>
      <c r="L114" s="1"/>
      <c r="M114" s="3"/>
      <c r="N114" s="3"/>
      <c r="O114" s="3"/>
    </row>
  </sheetData>
  <pageMargins left="0.7" right="0.7" top="0.75" bottom="0.75" header="0.3" footer="0.3"/>
  <pageSetup orientation="portrait" horizontalDpi="203" verticalDpi="20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17AF-E1CC-4979-9007-2BAFAE7269B6}">
  <dimension ref="A1:Z69"/>
  <sheetViews>
    <sheetView workbookViewId="0">
      <pane ySplit="2" topLeftCell="A13" activePane="bottomLeft" state="frozen"/>
      <selection pane="bottomLeft" activeCell="C18" sqref="C18"/>
      <selection activeCell="C1" sqref="C1"/>
    </sheetView>
  </sheetViews>
  <sheetFormatPr defaultColWidth="8.85546875" defaultRowHeight="15.95"/>
  <cols>
    <col min="1" max="1" width="12.7109375" style="3" customWidth="1"/>
    <col min="2" max="2" width="9.140625" style="3"/>
    <col min="3" max="3" width="27" style="3" customWidth="1"/>
    <col min="4" max="4" width="2.7109375" style="3" customWidth="1"/>
    <col min="5" max="5" width="18.140625" style="13" customWidth="1"/>
    <col min="6" max="6" width="1.85546875" style="13" customWidth="1"/>
    <col min="7" max="7" width="20" style="13" customWidth="1"/>
    <col min="8" max="8" width="2.7109375" style="3" customWidth="1"/>
    <col min="9" max="9" width="12.5703125" style="3" customWidth="1"/>
    <col min="10" max="10" width="2.42578125" style="3" customWidth="1"/>
    <col min="11" max="11" width="13.7109375" style="3" customWidth="1"/>
    <col min="12" max="12" width="2.42578125" style="3" customWidth="1"/>
    <col min="13" max="13" width="9.140625" style="3"/>
    <col min="14" max="14" width="13.7109375" style="3" customWidth="1"/>
    <col min="15" max="15" width="2.7109375" style="3" customWidth="1"/>
    <col min="16" max="16" width="9.140625" style="3"/>
    <col min="17" max="17" width="13.7109375" style="3" customWidth="1"/>
    <col min="18" max="18" width="2.7109375" style="3" customWidth="1"/>
    <col min="19" max="19" width="9.140625" style="3"/>
    <col min="20" max="20" width="11.42578125" style="3" customWidth="1"/>
    <col min="21" max="21" width="2.140625" style="3" customWidth="1"/>
    <col min="22" max="22" width="9.140625" style="3"/>
    <col min="23" max="23" width="11.42578125" style="3" customWidth="1"/>
    <col min="24" max="24" width="32.5703125" style="3" customWidth="1"/>
    <col min="25" max="25" width="21.42578125" style="3" customWidth="1"/>
    <col min="26" max="16384" width="8.85546875" style="3"/>
  </cols>
  <sheetData>
    <row r="1" spans="1:26" s="5" customFormat="1">
      <c r="A1" s="4" t="s">
        <v>560</v>
      </c>
      <c r="E1" s="11"/>
      <c r="F1" s="11"/>
      <c r="G1" s="11"/>
      <c r="M1" s="4"/>
      <c r="P1" s="4"/>
      <c r="S1" s="4"/>
      <c r="V1" s="4"/>
    </row>
    <row r="2" spans="1:26" s="5" customFormat="1" ht="47.65">
      <c r="B2" s="4"/>
      <c r="C2" s="5" t="s">
        <v>1023</v>
      </c>
      <c r="E2" s="12" t="s">
        <v>67</v>
      </c>
      <c r="F2" s="12"/>
      <c r="G2" s="12" t="s">
        <v>68</v>
      </c>
      <c r="H2" s="6"/>
      <c r="I2" s="6" t="s">
        <v>5</v>
      </c>
      <c r="J2" s="6"/>
      <c r="K2" s="7" t="s">
        <v>591</v>
      </c>
      <c r="L2" s="6"/>
      <c r="M2" s="17"/>
      <c r="N2" s="7" t="s">
        <v>193</v>
      </c>
      <c r="P2" s="17"/>
      <c r="Q2" s="7" t="s">
        <v>69</v>
      </c>
      <c r="S2" s="17"/>
      <c r="T2" s="7" t="s">
        <v>70</v>
      </c>
      <c r="V2" s="17"/>
      <c r="W2" s="7" t="s">
        <v>71</v>
      </c>
      <c r="X2" s="6" t="s">
        <v>72</v>
      </c>
      <c r="Y2" s="5" t="s">
        <v>592</v>
      </c>
      <c r="Z2" s="5" t="s">
        <v>593</v>
      </c>
    </row>
    <row r="3" spans="1:26" s="5" customFormat="1">
      <c r="A3" s="4" t="s">
        <v>73</v>
      </c>
      <c r="E3" s="11"/>
      <c r="F3" s="11"/>
      <c r="G3" s="11"/>
    </row>
    <row r="4" spans="1:26">
      <c r="B4" s="1"/>
      <c r="M4" s="1"/>
      <c r="P4" s="1"/>
      <c r="S4" s="1"/>
      <c r="V4" s="1"/>
    </row>
    <row r="5" spans="1:26">
      <c r="A5" s="20"/>
      <c r="B5" s="20"/>
      <c r="C5" s="20" t="s">
        <v>594</v>
      </c>
      <c r="D5" s="20"/>
      <c r="M5" s="1"/>
      <c r="P5" s="1"/>
      <c r="S5" s="1"/>
      <c r="V5" s="1"/>
    </row>
    <row r="6" spans="1:26">
      <c r="A6" s="20"/>
      <c r="B6" s="20"/>
      <c r="C6" s="20" t="s">
        <v>562</v>
      </c>
      <c r="D6" s="20"/>
      <c r="M6" s="8" t="b">
        <v>0</v>
      </c>
      <c r="P6" s="8" t="b">
        <v>0</v>
      </c>
      <c r="S6" s="8" t="b">
        <v>0</v>
      </c>
      <c r="V6" s="8" t="b">
        <v>0</v>
      </c>
    </row>
    <row r="7" spans="1:26">
      <c r="A7" s="20"/>
      <c r="B7" s="20"/>
      <c r="C7" s="20"/>
      <c r="D7" s="20"/>
      <c r="M7" s="8" t="b">
        <v>0</v>
      </c>
      <c r="N7" s="10"/>
      <c r="P7" s="8" t="b">
        <v>0</v>
      </c>
      <c r="Q7" s="10"/>
      <c r="S7" s="8" t="b">
        <v>0</v>
      </c>
      <c r="V7" s="8" t="b">
        <v>0</v>
      </c>
    </row>
    <row r="8" spans="1:26">
      <c r="A8" s="20"/>
      <c r="B8" s="20"/>
      <c r="C8" s="20"/>
      <c r="D8" s="20"/>
      <c r="M8" s="8" t="b">
        <v>0</v>
      </c>
      <c r="P8" s="8" t="b">
        <v>0</v>
      </c>
      <c r="S8" s="8" t="b">
        <v>0</v>
      </c>
      <c r="V8" s="8" t="b">
        <v>0</v>
      </c>
    </row>
    <row r="9" spans="1:26">
      <c r="A9" s="20"/>
      <c r="B9" s="20"/>
      <c r="C9" s="20"/>
      <c r="D9" s="20"/>
      <c r="M9" s="8" t="b">
        <v>0</v>
      </c>
      <c r="P9" s="8" t="b">
        <v>0</v>
      </c>
      <c r="S9" s="8" t="b">
        <v>0</v>
      </c>
      <c r="V9" s="8" t="b">
        <v>0</v>
      </c>
    </row>
    <row r="10" spans="1:26">
      <c r="A10" s="20"/>
      <c r="B10" s="20"/>
      <c r="C10" s="20"/>
      <c r="D10" s="20"/>
      <c r="M10" s="8" t="b">
        <v>0</v>
      </c>
      <c r="P10" s="8" t="b">
        <v>0</v>
      </c>
      <c r="Q10" s="10"/>
      <c r="S10" s="8" t="b">
        <v>0</v>
      </c>
      <c r="V10" s="8" t="b">
        <v>0</v>
      </c>
    </row>
    <row r="11" spans="1:26">
      <c r="A11" s="20" t="s">
        <v>563</v>
      </c>
      <c r="B11" s="20"/>
      <c r="C11" s="31" t="s">
        <v>1024</v>
      </c>
      <c r="D11" s="20"/>
      <c r="I11" s="3" t="s">
        <v>9</v>
      </c>
      <c r="M11" s="8" t="b">
        <v>0</v>
      </c>
      <c r="N11" s="10"/>
      <c r="P11" s="8" t="b">
        <v>0</v>
      </c>
      <c r="Q11" s="10"/>
      <c r="S11" s="8" t="b">
        <v>0</v>
      </c>
      <c r="T11" s="10"/>
      <c r="V11" s="8" t="b">
        <v>0</v>
      </c>
    </row>
    <row r="12" spans="1:26">
      <c r="A12" s="20"/>
      <c r="B12" s="20"/>
      <c r="C12" s="20" t="s">
        <v>637</v>
      </c>
      <c r="D12" s="20"/>
      <c r="M12" s="8" t="b">
        <v>0</v>
      </c>
      <c r="N12" s="10"/>
      <c r="P12" s="8" t="b">
        <v>0</v>
      </c>
      <c r="Q12" s="10"/>
      <c r="S12" s="8" t="b">
        <v>0</v>
      </c>
      <c r="T12" s="10"/>
      <c r="V12" s="8" t="b">
        <v>0</v>
      </c>
    </row>
    <row r="13" spans="1:26">
      <c r="A13" s="20"/>
      <c r="B13" s="20"/>
      <c r="C13" s="20" t="s">
        <v>1025</v>
      </c>
      <c r="D13" s="20"/>
      <c r="E13" s="13">
        <v>350</v>
      </c>
      <c r="G13" s="13">
        <v>562.79</v>
      </c>
      <c r="I13" s="3" t="s">
        <v>8</v>
      </c>
      <c r="M13" s="8" t="b">
        <v>0</v>
      </c>
      <c r="N13" s="10" t="s">
        <v>796</v>
      </c>
      <c r="P13" s="8" t="b">
        <v>0</v>
      </c>
      <c r="Q13" s="10" t="s">
        <v>1026</v>
      </c>
      <c r="S13" s="8" t="b">
        <v>1</v>
      </c>
      <c r="T13" s="10"/>
      <c r="V13" s="8" t="b">
        <v>0</v>
      </c>
    </row>
    <row r="14" spans="1:26">
      <c r="E14" s="3"/>
      <c r="F14" s="3"/>
      <c r="G14" s="3"/>
    </row>
    <row r="15" spans="1:26">
      <c r="A15" s="20"/>
      <c r="B15" s="20"/>
      <c r="C15" s="20"/>
      <c r="D15" s="20"/>
      <c r="K15" s="10"/>
      <c r="M15" s="8" t="b">
        <v>0</v>
      </c>
      <c r="N15" s="10"/>
      <c r="P15" s="8" t="b">
        <v>0</v>
      </c>
      <c r="Q15" s="10"/>
      <c r="S15" s="8" t="b">
        <v>0</v>
      </c>
      <c r="T15" s="10"/>
      <c r="V15" s="8" t="b">
        <v>0</v>
      </c>
    </row>
    <row r="16" spans="1:26">
      <c r="A16" s="20"/>
      <c r="B16" s="20"/>
      <c r="C16" s="20"/>
      <c r="D16" s="20"/>
      <c r="K16" s="10"/>
      <c r="Q16" s="10"/>
      <c r="S16" s="1"/>
      <c r="V16" s="1"/>
    </row>
    <row r="17" spans="1:22">
      <c r="A17" s="20"/>
      <c r="B17" s="20"/>
      <c r="C17" s="20"/>
      <c r="D17" s="20"/>
      <c r="M17" s="18"/>
      <c r="P17" s="18"/>
      <c r="S17" s="18"/>
      <c r="V17" s="18"/>
    </row>
    <row r="18" spans="1:22">
      <c r="A18" s="20" t="s">
        <v>407</v>
      </c>
      <c r="B18" s="20"/>
      <c r="C18" s="20" t="s">
        <v>1027</v>
      </c>
      <c r="D18" s="20"/>
      <c r="E18" s="13">
        <v>1800</v>
      </c>
      <c r="G18" s="13">
        <v>1158.42</v>
      </c>
      <c r="I18" s="3" t="s">
        <v>9</v>
      </c>
      <c r="M18" s="8" t="b">
        <v>0</v>
      </c>
      <c r="N18" s="10">
        <v>45797</v>
      </c>
      <c r="P18" s="8" t="b">
        <v>1</v>
      </c>
      <c r="Q18" s="10">
        <v>45797</v>
      </c>
      <c r="S18" s="8" t="b">
        <v>1</v>
      </c>
      <c r="V18" s="8" t="b">
        <v>0</v>
      </c>
    </row>
    <row r="19" spans="1:22">
      <c r="B19" s="20"/>
      <c r="C19" s="20" t="s">
        <v>1028</v>
      </c>
      <c r="D19" s="21"/>
      <c r="G19" s="13">
        <v>43.32</v>
      </c>
      <c r="I19" s="3" t="s">
        <v>8</v>
      </c>
      <c r="M19" s="1"/>
      <c r="N19" s="10">
        <v>45797</v>
      </c>
      <c r="P19" s="8" t="b">
        <v>1</v>
      </c>
      <c r="Q19" s="10">
        <v>45797</v>
      </c>
      <c r="S19" s="8" t="b">
        <v>1</v>
      </c>
      <c r="V19" s="1"/>
    </row>
    <row r="20" spans="1:22">
      <c r="A20" s="20"/>
      <c r="B20" s="20"/>
      <c r="C20" s="20" t="s">
        <v>1029</v>
      </c>
      <c r="D20" s="20"/>
      <c r="G20" s="13">
        <v>32.69</v>
      </c>
      <c r="M20" s="1"/>
      <c r="N20" s="10">
        <v>45797</v>
      </c>
      <c r="P20" s="1"/>
      <c r="Q20" s="10">
        <v>45797</v>
      </c>
      <c r="S20" s="1"/>
      <c r="V20" s="1"/>
    </row>
    <row r="21" spans="1:22">
      <c r="A21" s="20"/>
      <c r="B21" s="20"/>
      <c r="C21" s="20"/>
      <c r="D21" s="20"/>
      <c r="M21" s="8" t="b">
        <v>0</v>
      </c>
      <c r="N21" s="10"/>
      <c r="P21" s="8" t="b">
        <v>0</v>
      </c>
      <c r="Q21" s="10"/>
      <c r="S21" s="8" t="b">
        <v>0</v>
      </c>
      <c r="V21" s="8" t="b">
        <v>0</v>
      </c>
    </row>
    <row r="22" spans="1:22">
      <c r="A22" s="20"/>
      <c r="B22" s="20"/>
      <c r="C22" s="20"/>
      <c r="D22" s="20"/>
      <c r="M22" s="1"/>
      <c r="N22" s="10"/>
      <c r="P22" s="1"/>
      <c r="S22" s="1"/>
      <c r="V22" s="1"/>
    </row>
    <row r="23" spans="1:22">
      <c r="A23" s="20"/>
      <c r="B23" s="20"/>
      <c r="C23" s="20"/>
      <c r="D23" s="20"/>
      <c r="I23" s="3" t="s">
        <v>8</v>
      </c>
      <c r="K23" s="10"/>
      <c r="M23" s="8" t="b">
        <v>0</v>
      </c>
      <c r="N23" s="10"/>
      <c r="P23" s="8" t="b">
        <v>0</v>
      </c>
      <c r="Q23" s="10"/>
      <c r="S23" s="8" t="b">
        <v>0</v>
      </c>
      <c r="T23" s="10"/>
      <c r="V23" s="8" t="b">
        <v>0</v>
      </c>
    </row>
    <row r="24" spans="1:22">
      <c r="A24" s="20"/>
      <c r="B24" s="20"/>
      <c r="C24" s="20"/>
      <c r="D24" s="20"/>
      <c r="M24" s="1"/>
      <c r="N24" s="10"/>
      <c r="P24" s="1"/>
      <c r="S24" s="1"/>
      <c r="V24" s="1"/>
    </row>
    <row r="25" spans="1:22">
      <c r="A25" s="20" t="s">
        <v>660</v>
      </c>
      <c r="B25" s="20"/>
      <c r="C25" s="20" t="s">
        <v>658</v>
      </c>
      <c r="D25" s="20"/>
      <c r="I25" s="3" t="s">
        <v>659</v>
      </c>
      <c r="M25" s="8" t="b">
        <v>0</v>
      </c>
      <c r="N25" s="10"/>
      <c r="P25" s="8" t="b">
        <v>0</v>
      </c>
      <c r="Q25" s="10" t="s">
        <v>1026</v>
      </c>
      <c r="S25" s="8" t="b">
        <v>1</v>
      </c>
      <c r="V25" s="8" t="b">
        <v>0</v>
      </c>
    </row>
    <row r="26" spans="1:22">
      <c r="A26" s="20" t="s">
        <v>660</v>
      </c>
      <c r="B26" s="20"/>
      <c r="C26" s="20" t="s">
        <v>661</v>
      </c>
      <c r="D26" s="20"/>
      <c r="I26" s="3" t="s">
        <v>659</v>
      </c>
      <c r="M26" s="8" t="b">
        <v>0</v>
      </c>
      <c r="N26" s="10"/>
      <c r="P26" s="8" t="b">
        <v>0</v>
      </c>
      <c r="Q26" s="10"/>
      <c r="S26" s="8" t="b">
        <v>1</v>
      </c>
      <c r="V26" s="8" t="b">
        <v>0</v>
      </c>
    </row>
    <row r="27" spans="1:22">
      <c r="A27" s="20"/>
      <c r="B27" s="20"/>
      <c r="C27" s="20"/>
      <c r="D27" s="20"/>
      <c r="M27" s="1"/>
      <c r="N27" s="10"/>
      <c r="P27" s="1"/>
      <c r="S27" s="1"/>
      <c r="V27" s="1"/>
    </row>
    <row r="28" spans="1:22">
      <c r="A28" s="20"/>
      <c r="B28" s="20"/>
      <c r="C28" s="20"/>
      <c r="D28" s="20"/>
      <c r="M28" s="1"/>
      <c r="N28" s="10"/>
      <c r="P28" s="8" t="b">
        <v>0</v>
      </c>
      <c r="S28" s="8" t="b">
        <v>0</v>
      </c>
      <c r="V28" s="1"/>
    </row>
    <row r="29" spans="1:22">
      <c r="A29" s="20"/>
      <c r="B29" s="20"/>
      <c r="C29" s="20"/>
      <c r="D29" s="20"/>
      <c r="M29" s="1"/>
      <c r="N29" s="10"/>
      <c r="P29" s="1"/>
      <c r="S29" s="1"/>
      <c r="V29" s="1"/>
    </row>
    <row r="30" spans="1:22">
      <c r="A30" s="20"/>
      <c r="B30" s="20"/>
      <c r="C30" s="20"/>
      <c r="D30" s="20"/>
      <c r="F30" s="26"/>
      <c r="G30" s="26"/>
      <c r="H30" s="22"/>
      <c r="I30" s="22"/>
      <c r="M30" s="18"/>
      <c r="P30" s="18"/>
      <c r="S30" s="18"/>
      <c r="V30" s="18"/>
    </row>
    <row r="31" spans="1:22">
      <c r="A31" s="20"/>
      <c r="B31" s="20"/>
      <c r="C31" s="20"/>
      <c r="D31" s="20"/>
      <c r="M31" s="18"/>
      <c r="P31" s="18"/>
      <c r="S31" s="18"/>
      <c r="V31" s="18"/>
    </row>
    <row r="32" spans="1:22">
      <c r="A32" s="20"/>
      <c r="B32" s="20"/>
      <c r="C32" s="20"/>
      <c r="D32" s="20"/>
      <c r="M32" s="1"/>
      <c r="N32" s="10"/>
      <c r="P32" s="1"/>
      <c r="S32" s="1"/>
      <c r="V32" s="1"/>
    </row>
    <row r="33" spans="1:22">
      <c r="A33" s="20"/>
      <c r="B33" s="20"/>
      <c r="C33" s="20"/>
      <c r="D33" s="20"/>
      <c r="M33" s="1"/>
      <c r="P33" s="1"/>
      <c r="S33" s="1"/>
      <c r="V33" s="1"/>
    </row>
    <row r="34" spans="1:22" s="5" customFormat="1">
      <c r="B34" s="4"/>
      <c r="E34" s="11">
        <f>SUM(E3:E33)</f>
        <v>2150</v>
      </c>
      <c r="F34" s="11"/>
      <c r="G34" s="11">
        <f>SUM(G2:G33)</f>
        <v>1797.22</v>
      </c>
      <c r="L34" s="3"/>
      <c r="M34" s="1"/>
      <c r="N34" s="3"/>
      <c r="P34" s="1"/>
      <c r="S34" s="1"/>
      <c r="V34" s="1"/>
    </row>
    <row r="35" spans="1:22" s="5" customFormat="1">
      <c r="B35" s="4"/>
      <c r="E35" s="11"/>
      <c r="F35" s="11"/>
      <c r="G35" s="11"/>
      <c r="L35" s="3"/>
      <c r="M35" s="1"/>
      <c r="N35" s="3"/>
      <c r="P35" s="1"/>
      <c r="S35" s="1"/>
      <c r="V35" s="1"/>
    </row>
    <row r="36" spans="1:22" s="5" customFormat="1">
      <c r="B36" s="1"/>
      <c r="C36" s="3"/>
      <c r="D36" s="3"/>
      <c r="E36" s="11"/>
      <c r="F36" s="11"/>
      <c r="G36" s="11"/>
      <c r="L36" s="3"/>
      <c r="M36" s="1"/>
      <c r="N36" s="3"/>
      <c r="P36" s="1"/>
      <c r="S36" s="1"/>
      <c r="V36" s="1"/>
    </row>
    <row r="37" spans="1:22" s="5" customFormat="1">
      <c r="B37" s="1"/>
      <c r="C37" s="3"/>
      <c r="D37" s="3"/>
      <c r="E37" s="11"/>
      <c r="F37" s="11"/>
      <c r="G37" s="11"/>
      <c r="L37" s="3"/>
      <c r="M37" s="1"/>
      <c r="N37" s="3"/>
      <c r="P37" s="1"/>
      <c r="S37" s="1"/>
      <c r="V37" s="1"/>
    </row>
    <row r="38" spans="1:22" s="5" customFormat="1">
      <c r="B38" s="1"/>
      <c r="C38" s="3"/>
      <c r="D38" s="3"/>
      <c r="E38" s="11"/>
      <c r="F38" s="11"/>
      <c r="G38" s="11"/>
      <c r="L38" s="3"/>
      <c r="M38" s="1"/>
      <c r="N38" s="3"/>
      <c r="P38" s="1"/>
      <c r="S38" s="1"/>
      <c r="V38" s="1"/>
    </row>
    <row r="39" spans="1:22" s="5" customFormat="1">
      <c r="B39" s="1"/>
      <c r="C39" s="3"/>
      <c r="D39" s="3"/>
      <c r="E39" s="11"/>
      <c r="F39" s="11"/>
      <c r="G39" s="11"/>
      <c r="L39" s="3"/>
      <c r="M39" s="1"/>
      <c r="N39" s="3"/>
      <c r="P39" s="1"/>
      <c r="S39" s="1"/>
      <c r="V39" s="1"/>
    </row>
    <row r="40" spans="1:22">
      <c r="B40" s="1"/>
      <c r="M40" s="1"/>
      <c r="P40" s="1"/>
      <c r="S40" s="1"/>
      <c r="V40" s="1"/>
    </row>
    <row r="41" spans="1:22">
      <c r="B41" s="1"/>
      <c r="M41" s="1"/>
      <c r="P41" s="1"/>
      <c r="S41" s="1"/>
      <c r="V41" s="1"/>
    </row>
    <row r="42" spans="1:22">
      <c r="B42" s="1"/>
      <c r="M42" s="1"/>
      <c r="P42" s="1"/>
      <c r="S42" s="1"/>
      <c r="V42" s="1"/>
    </row>
    <row r="43" spans="1:22">
      <c r="B43" s="1"/>
      <c r="M43" s="1"/>
      <c r="P43" s="1"/>
      <c r="S43" s="1"/>
      <c r="V43" s="1"/>
    </row>
    <row r="44" spans="1:22">
      <c r="B44" s="1"/>
      <c r="M44" s="1"/>
      <c r="P44" s="1"/>
      <c r="S44" s="1"/>
      <c r="V44" s="1"/>
    </row>
    <row r="45" spans="1:22">
      <c r="B45" s="18"/>
      <c r="M45" s="1"/>
      <c r="P45" s="1"/>
      <c r="S45" s="1"/>
      <c r="V45" s="1"/>
    </row>
    <row r="46" spans="1:22">
      <c r="B46" s="1"/>
      <c r="L46" s="5"/>
      <c r="M46" s="1"/>
      <c r="N46" s="5"/>
      <c r="P46" s="1"/>
      <c r="S46" s="1"/>
      <c r="V46" s="1"/>
    </row>
    <row r="47" spans="1:22">
      <c r="B47" s="1"/>
      <c r="L47" s="5"/>
      <c r="M47" s="1"/>
      <c r="N47" s="5"/>
      <c r="P47" s="1"/>
      <c r="S47" s="1"/>
      <c r="V47" s="1"/>
    </row>
    <row r="48" spans="1:22">
      <c r="B48" s="1"/>
      <c r="L48" s="5"/>
      <c r="M48" s="1"/>
      <c r="N48" s="5"/>
      <c r="P48" s="1"/>
      <c r="S48" s="1"/>
      <c r="V48" s="1"/>
    </row>
    <row r="49" spans="2:22">
      <c r="B49" s="1"/>
      <c r="L49" s="5"/>
      <c r="M49" s="1"/>
      <c r="N49" s="5"/>
      <c r="P49" s="1"/>
      <c r="S49" s="1"/>
      <c r="V49" s="1"/>
    </row>
    <row r="50" spans="2:22">
      <c r="B50" s="1"/>
      <c r="M50" s="1"/>
      <c r="P50" s="1"/>
      <c r="S50" s="1"/>
      <c r="V50" s="1"/>
    </row>
    <row r="51" spans="2:22">
      <c r="B51" s="1"/>
      <c r="M51" s="2"/>
      <c r="P51" s="2"/>
      <c r="S51" s="2"/>
      <c r="V51" s="2"/>
    </row>
    <row r="52" spans="2:22" s="5" customFormat="1">
      <c r="B52" s="4"/>
      <c r="E52" s="11"/>
      <c r="F52" s="11"/>
      <c r="G52" s="11"/>
      <c r="M52" s="14"/>
      <c r="P52" s="14"/>
      <c r="S52" s="14"/>
      <c r="V52" s="14"/>
    </row>
    <row r="53" spans="2:22" s="5" customFormat="1">
      <c r="B53" s="4"/>
      <c r="E53" s="11"/>
      <c r="F53" s="11"/>
      <c r="G53" s="11"/>
      <c r="L53" s="3"/>
      <c r="M53" s="2"/>
      <c r="N53" s="3"/>
      <c r="P53" s="2"/>
      <c r="S53" s="2"/>
      <c r="V53" s="2"/>
    </row>
    <row r="54" spans="2:22" s="5" customFormat="1">
      <c r="B54" s="1"/>
      <c r="C54" s="3"/>
      <c r="D54" s="3"/>
      <c r="E54" s="11"/>
      <c r="F54" s="11"/>
      <c r="G54" s="11"/>
      <c r="M54" s="4"/>
      <c r="P54" s="4"/>
      <c r="S54" s="4"/>
      <c r="V54" s="4"/>
    </row>
    <row r="55" spans="2:22" s="5" customFormat="1">
      <c r="B55" s="1"/>
      <c r="C55" s="3"/>
      <c r="D55" s="3"/>
      <c r="E55" s="11"/>
      <c r="F55" s="11"/>
      <c r="G55" s="11"/>
      <c r="M55" s="4"/>
      <c r="P55" s="4"/>
      <c r="S55" s="4"/>
      <c r="V55" s="4"/>
    </row>
    <row r="56" spans="2:22">
      <c r="B56" s="1"/>
      <c r="L56" s="5"/>
      <c r="M56" s="4"/>
      <c r="N56" s="5"/>
      <c r="P56" s="4"/>
      <c r="S56" s="4"/>
      <c r="V56" s="4"/>
    </row>
    <row r="57" spans="2:22">
      <c r="B57" s="1"/>
      <c r="L57" s="5"/>
      <c r="M57" s="1"/>
      <c r="N57" s="5"/>
      <c r="P57" s="1"/>
      <c r="S57" s="1"/>
      <c r="V57" s="1"/>
    </row>
    <row r="58" spans="2:22">
      <c r="B58" s="1"/>
      <c r="L58" s="5"/>
      <c r="M58" s="1"/>
      <c r="N58" s="5"/>
      <c r="P58" s="1"/>
      <c r="S58" s="1"/>
      <c r="V58" s="1"/>
    </row>
    <row r="59" spans="2:22">
      <c r="B59" s="1"/>
      <c r="M59" s="1"/>
      <c r="P59" s="1"/>
      <c r="S59" s="1"/>
      <c r="V59" s="1"/>
    </row>
    <row r="60" spans="2:22">
      <c r="B60" s="1"/>
      <c r="M60" s="1"/>
      <c r="P60" s="1"/>
      <c r="S60" s="1"/>
      <c r="V60" s="1"/>
    </row>
    <row r="61" spans="2:22">
      <c r="B61" s="1"/>
      <c r="M61" s="1"/>
      <c r="P61" s="1"/>
      <c r="S61" s="1"/>
      <c r="V61" s="1"/>
    </row>
    <row r="62" spans="2:22">
      <c r="B62" s="1"/>
      <c r="M62" s="1"/>
      <c r="P62" s="1"/>
      <c r="S62" s="1"/>
      <c r="V62" s="1"/>
    </row>
    <row r="63" spans="2:22">
      <c r="B63" s="1"/>
      <c r="M63" s="1"/>
      <c r="P63" s="1"/>
      <c r="S63" s="1"/>
      <c r="V63" s="1"/>
    </row>
    <row r="64" spans="2:22">
      <c r="B64" s="1"/>
      <c r="M64" s="1"/>
      <c r="P64" s="1"/>
      <c r="S64" s="1"/>
      <c r="V64" s="1"/>
    </row>
    <row r="65" spans="2:22">
      <c r="B65" s="1"/>
      <c r="M65" s="1"/>
      <c r="P65" s="1"/>
      <c r="S65" s="1"/>
      <c r="V65" s="1"/>
    </row>
    <row r="66" spans="2:22">
      <c r="B66" s="1"/>
      <c r="M66" s="1"/>
      <c r="P66" s="1"/>
      <c r="S66" s="1"/>
      <c r="V66" s="1"/>
    </row>
    <row r="67" spans="2:22">
      <c r="M67" s="1"/>
      <c r="P67" s="1"/>
      <c r="S67" s="1"/>
      <c r="V67" s="1"/>
    </row>
    <row r="68" spans="2:22">
      <c r="M68" s="1"/>
      <c r="P68" s="1"/>
      <c r="S68" s="1"/>
      <c r="V68" s="1"/>
    </row>
    <row r="69" spans="2:22">
      <c r="M69" s="1"/>
      <c r="P69" s="1"/>
      <c r="S69" s="1"/>
      <c r="V69" s="1"/>
    </row>
  </sheetData>
  <pageMargins left="0.7" right="0.7" top="0.75" bottom="0.75" header="0.3" footer="0.3"/>
  <pageSetup orientation="portrait" horizontalDpi="203" verticalDpi="20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0612-AD50-4D69-82DA-A51E5C018F1E}">
  <dimension ref="A1:Z67"/>
  <sheetViews>
    <sheetView workbookViewId="0">
      <pane ySplit="2" topLeftCell="A3" activePane="bottomLeft" state="frozen"/>
      <selection pane="bottomLeft" activeCell="S18" sqref="S18"/>
      <selection activeCell="C1" sqref="C1"/>
    </sheetView>
  </sheetViews>
  <sheetFormatPr defaultColWidth="8.85546875" defaultRowHeight="15.95"/>
  <cols>
    <col min="1" max="1" width="12.7109375" style="3" customWidth="1"/>
    <col min="2" max="2" width="8.85546875" style="3"/>
    <col min="3" max="3" width="27" style="3" customWidth="1"/>
    <col min="4" max="4" width="2.7109375" style="3" customWidth="1"/>
    <col min="5" max="5" width="18.140625" style="13" customWidth="1"/>
    <col min="6" max="6" width="1.85546875" style="13" customWidth="1"/>
    <col min="7" max="7" width="20" style="13" customWidth="1"/>
    <col min="8" max="8" width="2.7109375" style="3" customWidth="1"/>
    <col min="9" max="9" width="12.5703125" style="3" customWidth="1"/>
    <col min="10" max="10" width="2.42578125" style="3" customWidth="1"/>
    <col min="11" max="11" width="13.7109375" style="3" customWidth="1"/>
    <col min="12" max="12" width="2.42578125" style="3" customWidth="1"/>
    <col min="13" max="13" width="8.85546875" style="3"/>
    <col min="14" max="14" width="13.7109375" style="3" customWidth="1"/>
    <col min="15" max="15" width="2.7109375" style="3" customWidth="1"/>
    <col min="16" max="16" width="8.85546875" style="3"/>
    <col min="17" max="17" width="13.7109375" style="3" customWidth="1"/>
    <col min="18" max="18" width="2.7109375" style="3" customWidth="1"/>
    <col min="19" max="19" width="8.85546875" style="3"/>
    <col min="20" max="20" width="11.42578125" style="3" customWidth="1"/>
    <col min="21" max="21" width="2.140625" style="3" customWidth="1"/>
    <col min="22" max="22" width="8.85546875" style="3"/>
    <col min="23" max="23" width="11.42578125" style="3" customWidth="1"/>
    <col min="24" max="24" width="32.5703125" style="3" customWidth="1"/>
    <col min="25" max="25" width="21.42578125" style="3" customWidth="1"/>
    <col min="26" max="16384" width="8.85546875" style="3"/>
  </cols>
  <sheetData>
    <row r="1" spans="1:26" s="5" customFormat="1">
      <c r="A1" s="4" t="s">
        <v>560</v>
      </c>
      <c r="E1" s="11"/>
      <c r="F1" s="11"/>
      <c r="G1" s="11"/>
      <c r="M1" s="4"/>
      <c r="P1" s="4"/>
      <c r="S1" s="4"/>
      <c r="V1" s="4"/>
    </row>
    <row r="2" spans="1:26" s="5" customFormat="1" ht="47.65">
      <c r="B2" s="4"/>
      <c r="C2" s="5" t="s">
        <v>1030</v>
      </c>
      <c r="E2" s="12" t="s">
        <v>67</v>
      </c>
      <c r="F2" s="12"/>
      <c r="G2" s="12" t="s">
        <v>68</v>
      </c>
      <c r="H2" s="6"/>
      <c r="I2" s="6" t="s">
        <v>5</v>
      </c>
      <c r="J2" s="6"/>
      <c r="K2" s="7" t="s">
        <v>591</v>
      </c>
      <c r="L2" s="6"/>
      <c r="M2" s="17"/>
      <c r="N2" s="7" t="s">
        <v>193</v>
      </c>
      <c r="P2" s="17"/>
      <c r="Q2" s="7" t="s">
        <v>69</v>
      </c>
      <c r="S2" s="17"/>
      <c r="T2" s="7" t="s">
        <v>70</v>
      </c>
      <c r="V2" s="17"/>
      <c r="W2" s="7" t="s">
        <v>71</v>
      </c>
      <c r="X2" s="6" t="s">
        <v>72</v>
      </c>
      <c r="Y2" s="5" t="s">
        <v>592</v>
      </c>
      <c r="Z2" s="5" t="s">
        <v>593</v>
      </c>
    </row>
    <row r="3" spans="1:26" s="5" customFormat="1">
      <c r="A3" s="4" t="s">
        <v>73</v>
      </c>
      <c r="E3" s="11"/>
      <c r="F3" s="11"/>
      <c r="G3" s="11"/>
    </row>
    <row r="4" spans="1:26">
      <c r="B4" s="1"/>
      <c r="M4" s="1"/>
      <c r="P4" s="1"/>
      <c r="S4" s="1"/>
      <c r="V4" s="1"/>
    </row>
    <row r="5" spans="1:26">
      <c r="A5" s="20"/>
      <c r="B5" s="20"/>
      <c r="C5" s="20" t="s">
        <v>594</v>
      </c>
      <c r="D5" s="20"/>
      <c r="M5" s="1"/>
      <c r="P5" s="1"/>
      <c r="S5" s="1"/>
      <c r="V5" s="1"/>
    </row>
    <row r="6" spans="1:26">
      <c r="A6" s="20"/>
      <c r="B6" s="20"/>
      <c r="C6" s="20" t="s">
        <v>562</v>
      </c>
      <c r="D6" s="20"/>
      <c r="M6" s="8" t="b">
        <v>0</v>
      </c>
      <c r="P6" s="8" t="b">
        <v>0</v>
      </c>
      <c r="S6" s="8" t="b">
        <v>0</v>
      </c>
      <c r="V6" s="8" t="b">
        <v>0</v>
      </c>
    </row>
    <row r="7" spans="1:26">
      <c r="A7" s="20"/>
      <c r="B7" s="20"/>
      <c r="C7" s="20"/>
      <c r="D7" s="20"/>
      <c r="M7" s="8" t="b">
        <v>0</v>
      </c>
      <c r="N7" s="10"/>
      <c r="P7" s="8" t="b">
        <v>0</v>
      </c>
      <c r="Q7" s="10"/>
      <c r="S7" s="8" t="b">
        <v>0</v>
      </c>
      <c r="V7" s="8" t="b">
        <v>0</v>
      </c>
    </row>
    <row r="8" spans="1:26">
      <c r="A8" s="20"/>
      <c r="B8" s="20"/>
      <c r="C8" s="20"/>
      <c r="D8" s="20"/>
      <c r="M8" s="8" t="b">
        <v>0</v>
      </c>
      <c r="P8" s="8" t="b">
        <v>0</v>
      </c>
      <c r="S8" s="8" t="b">
        <v>0</v>
      </c>
      <c r="V8" s="8" t="b">
        <v>0</v>
      </c>
    </row>
    <row r="9" spans="1:26">
      <c r="A9" s="20"/>
      <c r="B9" s="20"/>
      <c r="C9" s="20"/>
      <c r="D9" s="20"/>
      <c r="M9" s="8" t="b">
        <v>0</v>
      </c>
      <c r="P9" s="8" t="b">
        <v>0</v>
      </c>
      <c r="S9" s="8" t="b">
        <v>0</v>
      </c>
      <c r="V9" s="8" t="b">
        <v>0</v>
      </c>
    </row>
    <row r="10" spans="1:26">
      <c r="A10" s="20"/>
      <c r="B10" s="20"/>
      <c r="C10" s="20"/>
      <c r="D10" s="20"/>
      <c r="K10" s="10"/>
      <c r="Q10" s="10"/>
      <c r="S10" s="1"/>
      <c r="V10" s="1"/>
    </row>
    <row r="11" spans="1:26">
      <c r="A11" s="20" t="s">
        <v>324</v>
      </c>
      <c r="B11" s="20"/>
      <c r="C11" s="20" t="s">
        <v>1031</v>
      </c>
      <c r="D11" s="20"/>
      <c r="E11" s="13">
        <v>300</v>
      </c>
      <c r="G11" s="13">
        <v>448.16</v>
      </c>
      <c r="I11" s="3" t="s">
        <v>1032</v>
      </c>
      <c r="M11" s="8" t="b">
        <v>0</v>
      </c>
      <c r="N11" s="10"/>
      <c r="P11" s="8" t="b">
        <v>0</v>
      </c>
      <c r="Q11" s="10">
        <v>45845</v>
      </c>
      <c r="S11" s="8" t="b">
        <v>1</v>
      </c>
      <c r="V11" s="18"/>
    </row>
    <row r="12" spans="1:26">
      <c r="A12" s="20"/>
      <c r="B12" s="20"/>
      <c r="C12" s="20" t="s">
        <v>1033</v>
      </c>
      <c r="D12" s="20"/>
      <c r="E12" s="13">
        <v>300</v>
      </c>
      <c r="G12" s="13">
        <v>231</v>
      </c>
      <c r="I12" s="3" t="s">
        <v>1005</v>
      </c>
      <c r="M12" s="18"/>
      <c r="P12" s="18"/>
      <c r="S12" s="18" t="s">
        <v>626</v>
      </c>
      <c r="V12" s="18"/>
    </row>
    <row r="13" spans="1:26">
      <c r="A13" s="20" t="s">
        <v>92</v>
      </c>
      <c r="B13" s="20"/>
      <c r="C13" s="20" t="s">
        <v>1034</v>
      </c>
      <c r="D13" s="20"/>
      <c r="E13" s="13">
        <v>300</v>
      </c>
      <c r="G13" s="13">
        <v>227.3</v>
      </c>
      <c r="I13" s="3" t="s">
        <v>12</v>
      </c>
      <c r="M13" s="8" t="b">
        <v>0</v>
      </c>
      <c r="N13" s="10"/>
      <c r="P13" s="8" t="b">
        <v>0</v>
      </c>
      <c r="Q13" s="10"/>
      <c r="S13" s="8" t="b">
        <v>1</v>
      </c>
      <c r="V13" s="8" t="b">
        <v>0</v>
      </c>
    </row>
    <row r="14" spans="1:26">
      <c r="B14" s="20"/>
      <c r="C14" s="20" t="s">
        <v>1035</v>
      </c>
      <c r="D14" s="21"/>
      <c r="G14" s="13">
        <v>82.95</v>
      </c>
      <c r="I14" s="3" t="s">
        <v>8</v>
      </c>
      <c r="M14" s="1"/>
      <c r="N14" s="10"/>
      <c r="P14" s="8" t="b">
        <v>0</v>
      </c>
      <c r="Q14" s="10"/>
      <c r="S14" s="8" t="b">
        <v>1</v>
      </c>
      <c r="V14" s="1"/>
    </row>
    <row r="15" spans="1:26">
      <c r="A15" s="20" t="s">
        <v>206</v>
      </c>
      <c r="B15" s="20"/>
      <c r="C15" s="20" t="s">
        <v>1036</v>
      </c>
      <c r="D15" s="20"/>
      <c r="G15" s="13">
        <v>86.25</v>
      </c>
      <c r="I15" s="3" t="s">
        <v>1037</v>
      </c>
      <c r="M15" s="1"/>
      <c r="N15" s="10"/>
      <c r="P15" s="1"/>
      <c r="S15" s="1" t="s">
        <v>626</v>
      </c>
      <c r="V15" s="1"/>
    </row>
    <row r="16" spans="1:26">
      <c r="A16" s="20"/>
      <c r="B16" s="20"/>
      <c r="C16" s="20" t="s">
        <v>1038</v>
      </c>
      <c r="D16" s="20"/>
      <c r="E16" s="13">
        <v>550</v>
      </c>
      <c r="G16" s="13">
        <v>244.68</v>
      </c>
      <c r="I16" s="3" t="s">
        <v>1039</v>
      </c>
      <c r="M16" s="8" t="b">
        <v>0</v>
      </c>
      <c r="N16" s="10"/>
      <c r="P16" s="8" t="b">
        <v>0</v>
      </c>
      <c r="Q16" s="10"/>
      <c r="S16" s="8" t="b">
        <v>1</v>
      </c>
      <c r="V16" s="8" t="b">
        <v>0</v>
      </c>
    </row>
    <row r="17" spans="1:22">
      <c r="A17" s="20"/>
      <c r="B17" s="20"/>
      <c r="C17" s="20" t="s">
        <v>1040</v>
      </c>
      <c r="D17" s="20"/>
      <c r="G17" s="13">
        <f>15.98+13.48</f>
        <v>29.46</v>
      </c>
      <c r="I17" s="3" t="s">
        <v>8</v>
      </c>
      <c r="M17" s="1"/>
      <c r="N17" s="10"/>
      <c r="P17" s="1"/>
      <c r="S17" s="1" t="s">
        <v>626</v>
      </c>
      <c r="V17" s="1"/>
    </row>
    <row r="18" spans="1:22">
      <c r="A18" s="20" t="s">
        <v>516</v>
      </c>
      <c r="B18" s="20"/>
      <c r="C18" s="20" t="s">
        <v>1041</v>
      </c>
      <c r="D18" s="20"/>
      <c r="K18" s="10"/>
      <c r="M18" s="8" t="b">
        <v>0</v>
      </c>
      <c r="N18" s="10"/>
      <c r="P18" s="8" t="b">
        <v>0</v>
      </c>
      <c r="Q18" s="10"/>
      <c r="S18" s="8" t="b">
        <v>1</v>
      </c>
      <c r="T18" s="10"/>
      <c r="V18" s="8" t="b">
        <v>0</v>
      </c>
    </row>
    <row r="19" spans="1:22">
      <c r="A19" s="20"/>
      <c r="B19" s="20"/>
      <c r="C19" s="20"/>
      <c r="D19" s="20"/>
      <c r="M19" s="1"/>
      <c r="N19" s="10"/>
      <c r="P19" s="1"/>
      <c r="S19" s="1"/>
      <c r="V19" s="1"/>
    </row>
    <row r="20" spans="1:22">
      <c r="A20" s="20" t="s">
        <v>660</v>
      </c>
      <c r="B20" s="20"/>
      <c r="C20" s="20" t="s">
        <v>1042</v>
      </c>
      <c r="D20" s="20"/>
      <c r="M20" s="8" t="b">
        <v>0</v>
      </c>
      <c r="N20" s="10"/>
      <c r="P20" s="8" t="b">
        <v>0</v>
      </c>
      <c r="Q20" s="10"/>
      <c r="S20" s="8" t="b">
        <v>1</v>
      </c>
      <c r="V20" s="8" t="b">
        <v>0</v>
      </c>
    </row>
    <row r="21" spans="1:22">
      <c r="A21" s="20" t="s">
        <v>660</v>
      </c>
      <c r="B21" s="20"/>
      <c r="C21" s="20" t="s">
        <v>1043</v>
      </c>
      <c r="D21" s="20"/>
      <c r="M21" s="8" t="b">
        <v>0</v>
      </c>
      <c r="N21" s="10"/>
      <c r="P21" s="8" t="b">
        <v>0</v>
      </c>
      <c r="Q21" s="10"/>
      <c r="S21" s="8" t="b">
        <v>1</v>
      </c>
      <c r="V21" s="8" t="b">
        <v>0</v>
      </c>
    </row>
    <row r="22" spans="1:22">
      <c r="A22" s="20"/>
      <c r="B22" s="20"/>
      <c r="C22" s="20"/>
      <c r="D22" s="20"/>
      <c r="M22" s="1"/>
      <c r="N22" s="10"/>
      <c r="P22" s="1"/>
      <c r="S22" s="1"/>
      <c r="V22" s="1"/>
    </row>
    <row r="23" spans="1:22">
      <c r="A23" s="20" t="s">
        <v>377</v>
      </c>
      <c r="B23" s="20"/>
      <c r="C23" s="20"/>
      <c r="D23" s="20"/>
      <c r="M23" s="1"/>
      <c r="N23" s="10"/>
      <c r="P23" s="8" t="b">
        <v>0</v>
      </c>
      <c r="S23" s="8" t="b">
        <v>0</v>
      </c>
      <c r="V23" s="1"/>
    </row>
    <row r="24" spans="1:22">
      <c r="A24" s="20"/>
      <c r="B24" s="20"/>
      <c r="C24" s="20"/>
      <c r="D24" s="20"/>
      <c r="M24" s="1"/>
      <c r="N24" s="10"/>
      <c r="P24" s="1"/>
      <c r="S24" s="1"/>
      <c r="V24" s="1"/>
    </row>
    <row r="25" spans="1:22">
      <c r="A25" s="20"/>
      <c r="B25" s="20"/>
      <c r="C25" s="20"/>
      <c r="D25" s="20"/>
      <c r="M25" s="8" t="b">
        <v>0</v>
      </c>
      <c r="P25" s="8" t="b">
        <v>0</v>
      </c>
      <c r="Q25" s="10"/>
      <c r="S25" s="8" t="b">
        <v>0</v>
      </c>
      <c r="V25" s="8" t="b">
        <v>0</v>
      </c>
    </row>
    <row r="26" spans="1:22">
      <c r="A26" s="20"/>
      <c r="B26" s="20"/>
      <c r="C26" s="20"/>
      <c r="D26" s="20"/>
      <c r="K26" s="10"/>
      <c r="M26" s="8" t="b">
        <v>0</v>
      </c>
      <c r="N26" s="10"/>
      <c r="P26" s="8" t="b">
        <v>0</v>
      </c>
      <c r="Q26" s="10"/>
      <c r="S26" s="8" t="b">
        <v>0</v>
      </c>
      <c r="T26" s="10"/>
      <c r="V26" s="8" t="b">
        <v>0</v>
      </c>
    </row>
    <row r="27" spans="1:22">
      <c r="A27" s="20"/>
      <c r="B27" s="20"/>
      <c r="C27" s="20"/>
      <c r="D27" s="20"/>
      <c r="F27" s="26"/>
      <c r="G27" s="26"/>
      <c r="H27" s="22"/>
      <c r="I27" s="22"/>
      <c r="M27" s="18"/>
      <c r="P27" s="18"/>
      <c r="S27" s="18"/>
      <c r="V27" s="18"/>
    </row>
    <row r="28" spans="1:22">
      <c r="A28" s="20"/>
      <c r="B28" s="20"/>
      <c r="C28" s="20"/>
      <c r="D28" s="20"/>
      <c r="M28" s="18"/>
      <c r="P28" s="18"/>
      <c r="S28" s="18"/>
      <c r="V28" s="18"/>
    </row>
    <row r="29" spans="1:22">
      <c r="A29" s="20"/>
      <c r="B29" s="20"/>
      <c r="C29" s="20"/>
      <c r="D29" s="20"/>
      <c r="M29" s="1"/>
      <c r="N29" s="10"/>
      <c r="P29" s="1"/>
      <c r="S29" s="1"/>
      <c r="V29" s="1"/>
    </row>
    <row r="30" spans="1:22">
      <c r="A30" s="20"/>
      <c r="B30" s="20"/>
      <c r="C30" s="20"/>
      <c r="D30" s="20"/>
      <c r="M30" s="1"/>
      <c r="P30" s="1"/>
      <c r="S30" s="1"/>
      <c r="V30" s="1"/>
    </row>
    <row r="31" spans="1:22" s="5" customFormat="1">
      <c r="B31" s="4"/>
      <c r="E31" s="11">
        <f>SUM(E3:E30)</f>
        <v>1450</v>
      </c>
      <c r="F31" s="11"/>
      <c r="G31" s="11">
        <f>SUM(G2:G30)</f>
        <v>1349.8000000000002</v>
      </c>
      <c r="L31" s="3"/>
      <c r="M31" s="1"/>
      <c r="N31" s="3"/>
      <c r="P31" s="1"/>
      <c r="S31" s="1"/>
      <c r="V31" s="1"/>
    </row>
    <row r="32" spans="1:22" s="5" customFormat="1">
      <c r="B32" s="4"/>
      <c r="E32" s="11"/>
      <c r="F32" s="11"/>
      <c r="G32" s="11"/>
      <c r="L32" s="3"/>
      <c r="M32" s="1"/>
      <c r="N32" s="3"/>
      <c r="P32" s="1"/>
      <c r="S32" s="1"/>
      <c r="V32" s="1"/>
    </row>
    <row r="33" spans="1:22">
      <c r="A33" s="3" t="s">
        <v>1044</v>
      </c>
      <c r="E33" s="3"/>
      <c r="F33" s="3"/>
      <c r="G33" s="3">
        <v>179.59</v>
      </c>
    </row>
    <row r="34" spans="1:22" s="5" customFormat="1">
      <c r="B34" s="1"/>
      <c r="C34" s="3"/>
      <c r="D34" s="3"/>
      <c r="E34" s="11"/>
      <c r="F34" s="11"/>
      <c r="G34" s="11"/>
      <c r="L34" s="3"/>
      <c r="M34" s="1"/>
      <c r="N34" s="3"/>
      <c r="P34" s="1"/>
      <c r="S34" s="1"/>
      <c r="V34" s="1"/>
    </row>
    <row r="35" spans="1:22" s="5" customFormat="1">
      <c r="B35" s="1"/>
      <c r="C35" s="3"/>
      <c r="D35" s="3"/>
      <c r="E35" s="11"/>
      <c r="F35" s="11"/>
      <c r="G35" s="11"/>
      <c r="L35" s="3"/>
      <c r="M35" s="1"/>
      <c r="N35" s="3"/>
      <c r="P35" s="1"/>
      <c r="S35" s="1"/>
      <c r="V35" s="1"/>
    </row>
    <row r="36" spans="1:22" s="5" customFormat="1">
      <c r="B36" s="1"/>
      <c r="C36" s="3"/>
      <c r="D36" s="3"/>
      <c r="E36" s="11"/>
      <c r="F36" s="11"/>
      <c r="G36" s="11"/>
      <c r="L36" s="3"/>
      <c r="M36" s="1"/>
      <c r="N36" s="3"/>
      <c r="P36" s="1"/>
      <c r="S36" s="1"/>
      <c r="V36" s="1"/>
    </row>
    <row r="37" spans="1:22" s="5" customFormat="1">
      <c r="B37" s="1"/>
      <c r="C37" s="3"/>
      <c r="D37" s="3"/>
      <c r="E37" s="11"/>
      <c r="F37" s="11"/>
      <c r="G37" s="11"/>
      <c r="L37" s="3"/>
      <c r="M37" s="1"/>
      <c r="N37" s="3"/>
      <c r="P37" s="1"/>
      <c r="S37" s="1"/>
      <c r="V37" s="1"/>
    </row>
    <row r="38" spans="1:22">
      <c r="B38" s="1"/>
      <c r="M38" s="1"/>
      <c r="P38" s="1"/>
      <c r="S38" s="1"/>
      <c r="V38" s="1"/>
    </row>
    <row r="39" spans="1:22">
      <c r="B39" s="1"/>
      <c r="M39" s="1"/>
      <c r="P39" s="1"/>
      <c r="S39" s="1"/>
      <c r="V39" s="1"/>
    </row>
    <row r="40" spans="1:22">
      <c r="B40" s="1"/>
      <c r="M40" s="1"/>
      <c r="P40" s="1"/>
      <c r="S40" s="1"/>
      <c r="V40" s="1"/>
    </row>
    <row r="41" spans="1:22">
      <c r="B41" s="1"/>
      <c r="M41" s="1"/>
      <c r="P41" s="1"/>
      <c r="S41" s="1"/>
      <c r="V41" s="1"/>
    </row>
    <row r="42" spans="1:22">
      <c r="B42" s="1"/>
      <c r="M42" s="1"/>
      <c r="P42" s="1"/>
      <c r="S42" s="1"/>
      <c r="V42" s="1"/>
    </row>
    <row r="43" spans="1:22">
      <c r="B43" s="18"/>
      <c r="M43" s="1"/>
      <c r="P43" s="1"/>
      <c r="S43" s="1"/>
      <c r="V43" s="1"/>
    </row>
    <row r="44" spans="1:22">
      <c r="B44" s="1"/>
      <c r="L44" s="5"/>
      <c r="M44" s="1"/>
      <c r="N44" s="5"/>
      <c r="P44" s="1"/>
      <c r="S44" s="1"/>
      <c r="V44" s="1"/>
    </row>
    <row r="45" spans="1:22">
      <c r="B45" s="1"/>
      <c r="L45" s="5"/>
      <c r="M45" s="1"/>
      <c r="N45" s="5"/>
      <c r="P45" s="1"/>
      <c r="S45" s="1"/>
      <c r="V45" s="1"/>
    </row>
    <row r="46" spans="1:22">
      <c r="B46" s="1"/>
      <c r="L46" s="5"/>
      <c r="M46" s="1"/>
      <c r="N46" s="5"/>
      <c r="P46" s="1"/>
      <c r="S46" s="1"/>
      <c r="V46" s="1"/>
    </row>
    <row r="47" spans="1:22">
      <c r="B47" s="1"/>
      <c r="L47" s="5"/>
      <c r="M47" s="1"/>
      <c r="N47" s="5"/>
      <c r="P47" s="1"/>
      <c r="S47" s="1"/>
      <c r="V47" s="1"/>
    </row>
    <row r="48" spans="1:22">
      <c r="B48" s="1"/>
      <c r="M48" s="1"/>
      <c r="P48" s="1"/>
      <c r="S48" s="1"/>
      <c r="V48" s="1"/>
    </row>
    <row r="49" spans="2:22">
      <c r="B49" s="1"/>
      <c r="M49" s="2"/>
      <c r="P49" s="2"/>
      <c r="S49" s="2"/>
      <c r="V49" s="2"/>
    </row>
    <row r="50" spans="2:22" s="5" customFormat="1">
      <c r="B50" s="4"/>
      <c r="E50" s="11"/>
      <c r="F50" s="11"/>
      <c r="G50" s="11"/>
      <c r="M50" s="14"/>
      <c r="P50" s="14"/>
      <c r="S50" s="14"/>
      <c r="V50" s="14"/>
    </row>
    <row r="51" spans="2:22" s="5" customFormat="1">
      <c r="B51" s="4"/>
      <c r="E51" s="11"/>
      <c r="F51" s="11"/>
      <c r="G51" s="11"/>
      <c r="L51" s="3"/>
      <c r="M51" s="2"/>
      <c r="N51" s="3"/>
      <c r="P51" s="2"/>
      <c r="S51" s="2"/>
      <c r="V51" s="2"/>
    </row>
    <row r="52" spans="2:22" s="5" customFormat="1">
      <c r="B52" s="1"/>
      <c r="C52" s="3"/>
      <c r="D52" s="3"/>
      <c r="E52" s="11"/>
      <c r="F52" s="11"/>
      <c r="G52" s="11"/>
      <c r="M52" s="4"/>
      <c r="P52" s="4"/>
      <c r="S52" s="4"/>
      <c r="V52" s="4"/>
    </row>
    <row r="53" spans="2:22" s="5" customFormat="1">
      <c r="B53" s="1"/>
      <c r="C53" s="3"/>
      <c r="D53" s="3"/>
      <c r="E53" s="11"/>
      <c r="F53" s="11"/>
      <c r="G53" s="11"/>
      <c r="M53" s="4"/>
      <c r="P53" s="4"/>
      <c r="S53" s="4"/>
      <c r="V53" s="4"/>
    </row>
    <row r="54" spans="2:22">
      <c r="B54" s="1"/>
      <c r="L54" s="5"/>
      <c r="M54" s="4"/>
      <c r="N54" s="5"/>
      <c r="P54" s="4"/>
      <c r="S54" s="4"/>
      <c r="V54" s="4"/>
    </row>
    <row r="55" spans="2:22">
      <c r="B55" s="1"/>
      <c r="L55" s="5"/>
      <c r="M55" s="1"/>
      <c r="N55" s="5"/>
      <c r="P55" s="1"/>
      <c r="S55" s="1"/>
      <c r="V55" s="1"/>
    </row>
    <row r="56" spans="2:22">
      <c r="B56" s="1"/>
      <c r="L56" s="5"/>
      <c r="M56" s="1"/>
      <c r="N56" s="5"/>
      <c r="P56" s="1"/>
      <c r="S56" s="1"/>
      <c r="V56" s="1"/>
    </row>
    <row r="57" spans="2:22">
      <c r="B57" s="1"/>
      <c r="M57" s="1"/>
      <c r="P57" s="1"/>
      <c r="S57" s="1"/>
      <c r="V57" s="1"/>
    </row>
    <row r="58" spans="2:22">
      <c r="B58" s="1"/>
      <c r="M58" s="1"/>
      <c r="P58" s="1"/>
      <c r="S58" s="1"/>
      <c r="V58" s="1"/>
    </row>
    <row r="59" spans="2:22">
      <c r="B59" s="1"/>
      <c r="M59" s="1"/>
      <c r="P59" s="1"/>
      <c r="S59" s="1"/>
      <c r="V59" s="1"/>
    </row>
    <row r="60" spans="2:22">
      <c r="B60" s="1"/>
      <c r="M60" s="1"/>
      <c r="P60" s="1"/>
      <c r="S60" s="1"/>
      <c r="V60" s="1"/>
    </row>
    <row r="61" spans="2:22">
      <c r="B61" s="1"/>
      <c r="M61" s="1"/>
      <c r="P61" s="1"/>
      <c r="S61" s="1"/>
      <c r="V61" s="1"/>
    </row>
    <row r="62" spans="2:22">
      <c r="B62" s="1"/>
      <c r="M62" s="1"/>
      <c r="P62" s="1"/>
      <c r="S62" s="1"/>
      <c r="V62" s="1"/>
    </row>
    <row r="63" spans="2:22">
      <c r="B63" s="1"/>
      <c r="M63" s="1"/>
      <c r="P63" s="1"/>
      <c r="S63" s="1"/>
      <c r="V63" s="1"/>
    </row>
    <row r="64" spans="2:22">
      <c r="B64" s="1"/>
      <c r="M64" s="1"/>
      <c r="P64" s="1"/>
      <c r="S64" s="1"/>
      <c r="V64" s="1"/>
    </row>
    <row r="65" spans="13:22">
      <c r="M65" s="1"/>
      <c r="P65" s="1"/>
      <c r="S65" s="1"/>
      <c r="V65" s="1"/>
    </row>
    <row r="66" spans="13:22">
      <c r="M66" s="1"/>
      <c r="P66" s="1"/>
      <c r="S66" s="1"/>
      <c r="V66" s="1"/>
    </row>
    <row r="67" spans="13:22">
      <c r="M67" s="1"/>
      <c r="P67" s="1"/>
      <c r="S67" s="1"/>
      <c r="V67" s="1"/>
    </row>
  </sheetData>
  <pageMargins left="0.7" right="0.7" top="0.75" bottom="0.75" header="0.3" footer="0.3"/>
  <pageSetup orientation="portrait" horizontalDpi="203" verticalDpi="20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C28B-1992-470B-893B-1CC3B222FB6B}">
  <dimension ref="A1:Z67"/>
  <sheetViews>
    <sheetView workbookViewId="0">
      <pane ySplit="2" topLeftCell="A21" activePane="bottomLeft" state="frozen"/>
      <selection pane="bottomLeft" activeCell="C30" sqref="C30"/>
      <selection activeCell="C1" sqref="C1"/>
    </sheetView>
  </sheetViews>
  <sheetFormatPr defaultColWidth="8.85546875" defaultRowHeight="15.95"/>
  <cols>
    <col min="1" max="1" width="12.7109375" style="3" customWidth="1"/>
    <col min="2" max="2" width="9.140625" style="3"/>
    <col min="3" max="3" width="27" style="3" customWidth="1"/>
    <col min="4" max="4" width="2.7109375" style="3" customWidth="1"/>
    <col min="5" max="5" width="18.140625" style="13" customWidth="1"/>
    <col min="6" max="6" width="1.85546875" style="13" customWidth="1"/>
    <col min="7" max="7" width="20" style="13" customWidth="1"/>
    <col min="8" max="8" width="2.7109375" style="3" customWidth="1"/>
    <col min="9" max="9" width="12.5703125" style="3" customWidth="1"/>
    <col min="10" max="10" width="2.42578125" style="3" customWidth="1"/>
    <col min="11" max="11" width="13.7109375" style="3" customWidth="1"/>
    <col min="12" max="12" width="2.42578125" style="3" customWidth="1"/>
    <col min="13" max="13" width="9.140625" style="3"/>
    <col min="14" max="14" width="13.7109375" style="3" customWidth="1"/>
    <col min="15" max="15" width="2.7109375" style="3" customWidth="1"/>
    <col min="16" max="16" width="9.140625" style="3"/>
    <col min="17" max="17" width="13.7109375" style="3" customWidth="1"/>
    <col min="18" max="18" width="2.7109375" style="3" customWidth="1"/>
    <col min="19" max="19" width="9.140625" style="3"/>
    <col min="20" max="20" width="11.42578125" style="3" customWidth="1"/>
    <col min="21" max="21" width="2.140625" style="3" customWidth="1"/>
    <col min="22" max="22" width="9.140625" style="3"/>
    <col min="23" max="23" width="11.42578125" style="3" customWidth="1"/>
    <col min="24" max="24" width="32.5703125" style="3" customWidth="1"/>
    <col min="25" max="25" width="21.42578125" style="3" customWidth="1"/>
    <col min="26" max="16384" width="8.85546875" style="3"/>
  </cols>
  <sheetData>
    <row r="1" spans="1:26" s="5" customFormat="1">
      <c r="A1" s="4" t="s">
        <v>560</v>
      </c>
      <c r="E1" s="11"/>
      <c r="F1" s="11"/>
      <c r="G1" s="11"/>
      <c r="M1" s="4"/>
      <c r="P1" s="4"/>
      <c r="S1" s="4"/>
      <c r="V1" s="4"/>
    </row>
    <row r="2" spans="1:26" s="5" customFormat="1" ht="47.65">
      <c r="B2" s="4"/>
      <c r="C2" s="5" t="s">
        <v>1045</v>
      </c>
      <c r="E2" s="12" t="s">
        <v>67</v>
      </c>
      <c r="F2" s="12"/>
      <c r="G2" s="12" t="s">
        <v>68</v>
      </c>
      <c r="H2" s="6"/>
      <c r="I2" s="6" t="s">
        <v>5</v>
      </c>
      <c r="J2" s="6"/>
      <c r="K2" s="7" t="s">
        <v>591</v>
      </c>
      <c r="L2" s="6"/>
      <c r="M2" s="17"/>
      <c r="N2" s="7" t="s">
        <v>193</v>
      </c>
      <c r="P2" s="17"/>
      <c r="Q2" s="7" t="s">
        <v>69</v>
      </c>
      <c r="S2" s="17"/>
      <c r="T2" s="7" t="s">
        <v>70</v>
      </c>
      <c r="V2" s="17"/>
      <c r="W2" s="7" t="s">
        <v>71</v>
      </c>
      <c r="X2" s="6" t="s">
        <v>72</v>
      </c>
      <c r="Y2" s="5" t="s">
        <v>592</v>
      </c>
      <c r="Z2" s="5" t="s">
        <v>593</v>
      </c>
    </row>
    <row r="3" spans="1:26" s="5" customFormat="1">
      <c r="A3" s="4" t="s">
        <v>73</v>
      </c>
      <c r="E3" s="11"/>
      <c r="F3" s="11"/>
      <c r="G3" s="11"/>
    </row>
    <row r="4" spans="1:26">
      <c r="B4" s="1"/>
      <c r="M4" s="1"/>
      <c r="P4" s="1"/>
      <c r="S4" s="1"/>
      <c r="V4" s="1"/>
    </row>
    <row r="5" spans="1:26">
      <c r="A5" s="20"/>
      <c r="B5" s="20"/>
      <c r="C5" s="20" t="s">
        <v>594</v>
      </c>
      <c r="D5" s="20"/>
      <c r="M5" s="1"/>
      <c r="P5" s="1"/>
      <c r="S5" s="1"/>
      <c r="V5" s="1"/>
    </row>
    <row r="6" spans="1:26">
      <c r="A6" s="20"/>
      <c r="B6" s="20"/>
      <c r="C6" s="20" t="s">
        <v>562</v>
      </c>
      <c r="D6" s="20"/>
      <c r="M6" s="8" t="b">
        <v>0</v>
      </c>
      <c r="P6" s="8" t="b">
        <v>0</v>
      </c>
      <c r="S6" s="8" t="b">
        <v>0</v>
      </c>
      <c r="V6" s="8" t="b">
        <v>0</v>
      </c>
    </row>
    <row r="7" spans="1:26">
      <c r="A7" s="20"/>
      <c r="B7" s="20"/>
      <c r="C7" s="20"/>
      <c r="D7" s="20"/>
      <c r="M7" s="8" t="b">
        <v>0</v>
      </c>
      <c r="N7" s="10"/>
      <c r="P7" s="8" t="b">
        <v>0</v>
      </c>
      <c r="Q7" s="10"/>
      <c r="S7" s="8" t="b">
        <v>0</v>
      </c>
      <c r="V7" s="8" t="b">
        <v>0</v>
      </c>
    </row>
    <row r="8" spans="1:26">
      <c r="A8" s="20"/>
      <c r="B8" s="20"/>
      <c r="C8" s="20"/>
      <c r="D8" s="20"/>
      <c r="M8" s="8" t="b">
        <v>0</v>
      </c>
      <c r="P8" s="8" t="b">
        <v>0</v>
      </c>
      <c r="S8" s="8" t="b">
        <v>0</v>
      </c>
      <c r="V8" s="8" t="b">
        <v>0</v>
      </c>
    </row>
    <row r="9" spans="1:26">
      <c r="A9" s="20"/>
      <c r="B9" s="20"/>
      <c r="C9" s="20"/>
      <c r="D9" s="20"/>
      <c r="M9" s="8" t="b">
        <v>0</v>
      </c>
      <c r="P9" s="8" t="b">
        <v>0</v>
      </c>
      <c r="S9" s="8" t="b">
        <v>0</v>
      </c>
      <c r="V9" s="8" t="b">
        <v>0</v>
      </c>
    </row>
    <row r="10" spans="1:26">
      <c r="A10" s="20"/>
      <c r="B10" s="20"/>
      <c r="C10" s="20"/>
      <c r="D10" s="20"/>
      <c r="G10" s="13" t="s">
        <v>1046</v>
      </c>
      <c r="M10" s="8" t="b">
        <v>1</v>
      </c>
      <c r="P10" s="8" t="b">
        <v>0</v>
      </c>
      <c r="Q10" s="10"/>
      <c r="S10" s="8" t="b">
        <v>0</v>
      </c>
      <c r="V10" s="8" t="b">
        <v>0</v>
      </c>
    </row>
    <row r="11" spans="1:26">
      <c r="A11" s="20" t="s">
        <v>563</v>
      </c>
      <c r="B11" s="20"/>
      <c r="C11" s="31" t="s">
        <v>82</v>
      </c>
      <c r="D11" s="20"/>
      <c r="E11" s="13">
        <v>1500</v>
      </c>
      <c r="G11" s="13">
        <v>471.82</v>
      </c>
      <c r="I11" s="3" t="s">
        <v>8</v>
      </c>
      <c r="M11" s="8" t="b">
        <v>1</v>
      </c>
      <c r="N11" s="10">
        <v>45802</v>
      </c>
      <c r="P11" s="8" t="b">
        <v>1</v>
      </c>
      <c r="Q11" s="10">
        <v>45804</v>
      </c>
      <c r="S11" s="8" t="b">
        <v>1</v>
      </c>
      <c r="T11" s="10"/>
      <c r="V11" s="8" t="b">
        <v>0</v>
      </c>
    </row>
    <row r="12" spans="1:26">
      <c r="A12" s="20"/>
      <c r="B12" s="20"/>
      <c r="C12" s="20" t="s">
        <v>1047</v>
      </c>
      <c r="D12" s="20"/>
      <c r="G12" s="13" t="s">
        <v>1048</v>
      </c>
      <c r="I12" s="3" t="s">
        <v>8</v>
      </c>
      <c r="M12" s="8" t="b">
        <v>1</v>
      </c>
      <c r="N12" s="10">
        <v>45802</v>
      </c>
      <c r="P12" s="8" t="b">
        <v>1</v>
      </c>
      <c r="Q12" s="10">
        <v>45804</v>
      </c>
      <c r="S12" s="8" t="b">
        <v>1</v>
      </c>
      <c r="T12" s="10"/>
      <c r="V12" s="8" t="b">
        <v>0</v>
      </c>
    </row>
    <row r="13" spans="1:26">
      <c r="A13" s="20"/>
      <c r="B13" s="20"/>
      <c r="C13" s="20" t="s">
        <v>1049</v>
      </c>
      <c r="D13" s="20"/>
      <c r="G13" s="13">
        <v>19.27</v>
      </c>
      <c r="I13" s="3" t="s">
        <v>9</v>
      </c>
      <c r="K13" s="3" t="s">
        <v>1050</v>
      </c>
      <c r="M13" s="8" t="b">
        <v>1</v>
      </c>
      <c r="N13" s="10"/>
      <c r="P13" s="8" t="b">
        <v>1</v>
      </c>
      <c r="Q13" s="10"/>
      <c r="S13" s="8" t="b">
        <v>1</v>
      </c>
      <c r="T13" s="10"/>
      <c r="V13" s="8" t="b">
        <v>0</v>
      </c>
    </row>
    <row r="14" spans="1:26">
      <c r="E14" s="3"/>
      <c r="F14" s="3"/>
      <c r="G14" s="3"/>
    </row>
    <row r="15" spans="1:26">
      <c r="A15" s="20"/>
      <c r="B15" s="20"/>
      <c r="C15" s="20"/>
      <c r="D15" s="20"/>
      <c r="K15" s="10"/>
      <c r="M15" s="8" t="b">
        <v>0</v>
      </c>
      <c r="N15" s="10"/>
      <c r="P15" s="8" t="b">
        <v>0</v>
      </c>
      <c r="Q15" s="10"/>
      <c r="S15" s="8" t="b">
        <v>0</v>
      </c>
      <c r="T15" s="10"/>
      <c r="V15" s="8" t="b">
        <v>0</v>
      </c>
    </row>
    <row r="16" spans="1:26">
      <c r="A16" s="20"/>
      <c r="B16" s="20"/>
      <c r="C16" s="20"/>
      <c r="D16" s="20"/>
      <c r="K16" s="10"/>
      <c r="Q16" s="10"/>
      <c r="S16" s="1"/>
      <c r="V16" s="1"/>
    </row>
    <row r="17" spans="1:22">
      <c r="A17" s="20" t="s">
        <v>324</v>
      </c>
      <c r="B17" s="20"/>
      <c r="C17" s="31" t="s">
        <v>1051</v>
      </c>
      <c r="D17" s="20"/>
      <c r="G17" s="13">
        <v>22.47</v>
      </c>
      <c r="I17" s="3" t="s">
        <v>9</v>
      </c>
      <c r="K17" s="3" t="s">
        <v>1052</v>
      </c>
      <c r="M17" s="8" t="b">
        <v>0</v>
      </c>
      <c r="N17" s="10"/>
      <c r="P17" s="8" t="b">
        <v>0</v>
      </c>
      <c r="Q17" s="10"/>
      <c r="S17" s="8" t="b">
        <v>1</v>
      </c>
      <c r="V17" s="18"/>
    </row>
    <row r="18" spans="1:22">
      <c r="A18" s="20"/>
      <c r="B18" s="20"/>
      <c r="C18" s="20"/>
      <c r="D18" s="20"/>
      <c r="M18" s="18"/>
      <c r="P18" s="18"/>
      <c r="S18" s="18"/>
      <c r="V18" s="18"/>
    </row>
    <row r="19" spans="1:22">
      <c r="A19" s="20" t="s">
        <v>407</v>
      </c>
      <c r="B19" s="20"/>
      <c r="C19" s="20" t="s">
        <v>1053</v>
      </c>
      <c r="D19" s="20"/>
      <c r="E19" s="13">
        <v>1500</v>
      </c>
      <c r="G19" s="13">
        <v>500</v>
      </c>
      <c r="I19" s="3" t="s">
        <v>138</v>
      </c>
      <c r="M19" s="8" t="b">
        <v>0</v>
      </c>
      <c r="N19" s="10"/>
      <c r="P19" s="8" t="b">
        <v>0</v>
      </c>
      <c r="Q19" s="10"/>
      <c r="S19" s="8" t="b">
        <v>0</v>
      </c>
      <c r="V19" s="8" t="b">
        <v>0</v>
      </c>
    </row>
    <row r="20" spans="1:22">
      <c r="B20" s="20"/>
      <c r="C20" s="20" t="s">
        <v>1054</v>
      </c>
      <c r="D20" s="21"/>
      <c r="G20" s="13" t="s">
        <v>1055</v>
      </c>
      <c r="I20" s="3" t="s">
        <v>8</v>
      </c>
      <c r="M20" s="1"/>
      <c r="N20" s="10">
        <v>45802</v>
      </c>
      <c r="P20" s="8" t="b">
        <v>1</v>
      </c>
      <c r="Q20" s="10">
        <v>45804</v>
      </c>
      <c r="S20" s="8" t="b">
        <v>1</v>
      </c>
      <c r="V20" s="1"/>
    </row>
    <row r="21" spans="1:22">
      <c r="A21" s="20"/>
      <c r="B21" s="20"/>
      <c r="C21" s="20"/>
      <c r="D21" s="20"/>
      <c r="M21" s="1"/>
      <c r="N21" s="10"/>
      <c r="P21" s="1"/>
      <c r="S21" s="1"/>
      <c r="V21" s="1"/>
    </row>
    <row r="22" spans="1:22">
      <c r="A22" s="20" t="s">
        <v>411</v>
      </c>
      <c r="B22" s="20"/>
      <c r="C22" s="20" t="s">
        <v>578</v>
      </c>
      <c r="D22" s="20"/>
      <c r="G22" s="13">
        <v>250</v>
      </c>
      <c r="I22" s="3" t="s">
        <v>1056</v>
      </c>
      <c r="K22" s="3" t="s">
        <v>1057</v>
      </c>
      <c r="M22" s="8" t="b">
        <v>0</v>
      </c>
      <c r="N22" s="10"/>
      <c r="P22" s="8" t="b">
        <v>0</v>
      </c>
      <c r="Q22" s="10"/>
      <c r="S22" s="8" t="b">
        <v>0</v>
      </c>
      <c r="V22" s="8" t="b">
        <v>0</v>
      </c>
    </row>
    <row r="23" spans="1:22">
      <c r="A23" s="20"/>
      <c r="B23" s="20"/>
      <c r="C23" s="20"/>
      <c r="D23" s="20"/>
      <c r="M23" s="1"/>
      <c r="N23" s="10"/>
      <c r="P23" s="1"/>
      <c r="S23" s="1"/>
      <c r="V23" s="1"/>
    </row>
    <row r="24" spans="1:22">
      <c r="A24" s="20"/>
      <c r="B24" s="20"/>
      <c r="C24" s="20" t="s">
        <v>1058</v>
      </c>
      <c r="D24" s="20"/>
      <c r="G24" s="13">
        <v>12.76</v>
      </c>
      <c r="I24" s="3" t="s">
        <v>1059</v>
      </c>
      <c r="K24" s="10"/>
      <c r="M24" s="8" t="b">
        <v>0</v>
      </c>
      <c r="N24" s="10"/>
      <c r="P24" s="8" t="b">
        <v>1</v>
      </c>
      <c r="Q24" s="10"/>
      <c r="S24" s="8" t="b">
        <v>1</v>
      </c>
      <c r="T24" s="10"/>
      <c r="V24" s="8" t="b">
        <v>0</v>
      </c>
    </row>
    <row r="25" spans="1:22">
      <c r="A25" s="20"/>
      <c r="B25" s="20"/>
      <c r="C25" s="20"/>
      <c r="D25" s="20"/>
      <c r="M25" s="1"/>
      <c r="N25" s="10"/>
      <c r="P25" s="1"/>
      <c r="S25" s="1"/>
      <c r="V25" s="1"/>
    </row>
    <row r="26" spans="1:22">
      <c r="A26" s="20" t="s">
        <v>660</v>
      </c>
      <c r="B26" s="20"/>
      <c r="C26" s="20" t="s">
        <v>1060</v>
      </c>
      <c r="D26" s="20"/>
      <c r="G26" s="13" t="s">
        <v>1061</v>
      </c>
      <c r="I26" s="3" t="s">
        <v>659</v>
      </c>
      <c r="M26" s="8" t="b">
        <v>0</v>
      </c>
      <c r="N26" s="10">
        <v>45802</v>
      </c>
      <c r="P26" s="8" t="b">
        <v>1</v>
      </c>
      <c r="Q26" s="10">
        <v>45804</v>
      </c>
      <c r="S26" s="8" t="b">
        <v>1</v>
      </c>
      <c r="V26" s="8" t="b">
        <v>0</v>
      </c>
    </row>
    <row r="27" spans="1:22">
      <c r="A27" s="20" t="s">
        <v>660</v>
      </c>
      <c r="B27" s="20"/>
      <c r="C27" s="20" t="s">
        <v>1062</v>
      </c>
      <c r="D27" s="20"/>
      <c r="G27" s="13" t="s">
        <v>1063</v>
      </c>
      <c r="I27" s="3" t="s">
        <v>659</v>
      </c>
      <c r="M27" s="8" t="b">
        <v>0</v>
      </c>
      <c r="N27" s="10">
        <v>45802</v>
      </c>
      <c r="P27" s="8" t="b">
        <v>1</v>
      </c>
      <c r="Q27" s="10">
        <v>45804</v>
      </c>
      <c r="S27" s="8" t="b">
        <v>1</v>
      </c>
      <c r="V27" s="8" t="b">
        <v>0</v>
      </c>
    </row>
    <row r="28" spans="1:22">
      <c r="A28" s="20"/>
      <c r="B28" s="20"/>
      <c r="C28" s="20"/>
      <c r="D28" s="20"/>
      <c r="M28" s="1"/>
      <c r="N28" s="10"/>
      <c r="P28" s="1"/>
      <c r="S28" s="1"/>
      <c r="V28" s="1"/>
    </row>
    <row r="29" spans="1:22">
      <c r="A29" s="20"/>
      <c r="B29" s="20"/>
      <c r="C29" s="20"/>
      <c r="D29" s="20"/>
      <c r="M29" s="1"/>
      <c r="N29" s="10"/>
      <c r="P29" s="8" t="b">
        <v>0</v>
      </c>
      <c r="S29" s="8" t="b">
        <v>0</v>
      </c>
      <c r="V29" s="1"/>
    </row>
    <row r="30" spans="1:22">
      <c r="A30" s="20"/>
      <c r="B30" s="20"/>
      <c r="C30" s="20"/>
      <c r="D30" s="20"/>
      <c r="M30" s="1"/>
      <c r="N30" s="10"/>
      <c r="P30" s="1"/>
      <c r="S30" s="1"/>
      <c r="V30" s="1"/>
    </row>
    <row r="31" spans="1:22">
      <c r="A31" s="20"/>
      <c r="B31" s="20"/>
      <c r="C31" s="20"/>
      <c r="D31" s="20"/>
      <c r="M31" s="1"/>
      <c r="P31" s="1"/>
      <c r="S31" s="1"/>
      <c r="V31" s="1"/>
    </row>
    <row r="32" spans="1:22" s="5" customFormat="1">
      <c r="B32" s="4"/>
      <c r="E32" s="11">
        <f>SUM(E3:E31)</f>
        <v>3000</v>
      </c>
      <c r="F32" s="11"/>
      <c r="G32" s="11">
        <f>SUM(G2:G31)</f>
        <v>1276.32</v>
      </c>
      <c r="L32" s="3"/>
      <c r="M32" s="1"/>
      <c r="N32" s="3"/>
      <c r="P32" s="1"/>
      <c r="S32" s="1"/>
      <c r="V32" s="1"/>
    </row>
    <row r="33" spans="2:22" s="5" customFormat="1">
      <c r="B33" s="4"/>
      <c r="E33" s="11"/>
      <c r="F33" s="11"/>
      <c r="G33" s="11"/>
      <c r="L33" s="3"/>
      <c r="M33" s="1"/>
      <c r="N33" s="3"/>
      <c r="P33" s="1"/>
      <c r="S33" s="1"/>
      <c r="V33" s="1"/>
    </row>
    <row r="34" spans="2:22" s="5" customFormat="1">
      <c r="B34" s="1"/>
      <c r="C34" s="3"/>
      <c r="D34" s="3"/>
      <c r="E34" s="11"/>
      <c r="F34" s="11"/>
      <c r="G34" s="11"/>
      <c r="L34" s="3"/>
      <c r="M34" s="1"/>
      <c r="N34" s="3"/>
      <c r="P34" s="1"/>
      <c r="S34" s="1"/>
      <c r="V34" s="1"/>
    </row>
    <row r="35" spans="2:22" s="5" customFormat="1">
      <c r="B35" s="1"/>
      <c r="C35" s="3"/>
      <c r="D35" s="3"/>
      <c r="E35" s="11"/>
      <c r="F35" s="11"/>
      <c r="G35" s="11"/>
      <c r="L35" s="3"/>
      <c r="M35" s="1"/>
      <c r="N35" s="3"/>
      <c r="P35" s="1"/>
      <c r="S35" s="1"/>
      <c r="V35" s="1"/>
    </row>
    <row r="36" spans="2:22" s="5" customFormat="1">
      <c r="B36" s="1"/>
      <c r="C36" s="3"/>
      <c r="D36" s="3"/>
      <c r="E36" s="11"/>
      <c r="F36" s="11"/>
      <c r="G36" s="11"/>
      <c r="L36" s="3"/>
      <c r="M36" s="1"/>
      <c r="N36" s="3"/>
      <c r="P36" s="1"/>
      <c r="S36" s="1"/>
      <c r="V36" s="1"/>
    </row>
    <row r="37" spans="2:22" s="5" customFormat="1">
      <c r="B37" s="1"/>
      <c r="C37" s="3"/>
      <c r="D37" s="3"/>
      <c r="E37" s="11"/>
      <c r="F37" s="11"/>
      <c r="G37" s="11"/>
      <c r="L37" s="3"/>
      <c r="M37" s="1"/>
      <c r="N37" s="3"/>
      <c r="P37" s="1"/>
      <c r="S37" s="1"/>
      <c r="V37" s="1"/>
    </row>
    <row r="38" spans="2:22">
      <c r="B38" s="1"/>
      <c r="M38" s="1"/>
      <c r="P38" s="1"/>
      <c r="S38" s="1"/>
      <c r="V38" s="1"/>
    </row>
    <row r="39" spans="2:22">
      <c r="B39" s="1"/>
      <c r="M39" s="1"/>
      <c r="P39" s="1"/>
      <c r="S39" s="1"/>
      <c r="V39" s="1"/>
    </row>
    <row r="40" spans="2:22">
      <c r="B40" s="1"/>
      <c r="M40" s="1"/>
      <c r="P40" s="1"/>
      <c r="S40" s="1"/>
      <c r="V40" s="1"/>
    </row>
    <row r="41" spans="2:22">
      <c r="B41" s="1"/>
      <c r="M41" s="1"/>
      <c r="P41" s="1"/>
      <c r="S41" s="1"/>
      <c r="V41" s="1"/>
    </row>
    <row r="42" spans="2:22">
      <c r="B42" s="1"/>
      <c r="M42" s="1"/>
      <c r="P42" s="1"/>
      <c r="S42" s="1"/>
      <c r="V42" s="1"/>
    </row>
    <row r="43" spans="2:22">
      <c r="B43" s="18"/>
      <c r="M43" s="1"/>
      <c r="P43" s="1"/>
      <c r="S43" s="1"/>
      <c r="V43" s="1"/>
    </row>
    <row r="44" spans="2:22">
      <c r="B44" s="1"/>
      <c r="L44" s="5"/>
      <c r="M44" s="1"/>
      <c r="N44" s="5"/>
      <c r="P44" s="1"/>
      <c r="S44" s="1"/>
      <c r="V44" s="1"/>
    </row>
    <row r="45" spans="2:22">
      <c r="B45" s="1"/>
      <c r="L45" s="5"/>
      <c r="M45" s="1"/>
      <c r="N45" s="5"/>
      <c r="P45" s="1"/>
      <c r="S45" s="1"/>
      <c r="V45" s="1"/>
    </row>
    <row r="46" spans="2:22">
      <c r="B46" s="1"/>
      <c r="L46" s="5"/>
      <c r="M46" s="1"/>
      <c r="N46" s="5"/>
      <c r="P46" s="1"/>
      <c r="S46" s="1"/>
      <c r="V46" s="1"/>
    </row>
    <row r="47" spans="2:22">
      <c r="B47" s="1"/>
      <c r="L47" s="5"/>
      <c r="M47" s="1"/>
      <c r="N47" s="5"/>
      <c r="P47" s="1"/>
      <c r="S47" s="1"/>
      <c r="V47" s="1"/>
    </row>
    <row r="48" spans="2:22">
      <c r="B48" s="1"/>
      <c r="M48" s="1"/>
      <c r="P48" s="1"/>
      <c r="S48" s="1"/>
      <c r="V48" s="1"/>
    </row>
    <row r="49" spans="2:22">
      <c r="B49" s="1"/>
      <c r="M49" s="2"/>
      <c r="P49" s="2"/>
      <c r="S49" s="2"/>
      <c r="V49" s="2"/>
    </row>
    <row r="50" spans="2:22" s="5" customFormat="1">
      <c r="B50" s="4"/>
      <c r="E50" s="11"/>
      <c r="F50" s="11"/>
      <c r="G50" s="11"/>
      <c r="M50" s="14"/>
      <c r="P50" s="14"/>
      <c r="S50" s="14"/>
      <c r="V50" s="14"/>
    </row>
    <row r="51" spans="2:22" s="5" customFormat="1">
      <c r="B51" s="4"/>
      <c r="E51" s="11"/>
      <c r="F51" s="11"/>
      <c r="G51" s="11"/>
      <c r="L51" s="3"/>
      <c r="M51" s="2"/>
      <c r="N51" s="3"/>
      <c r="P51" s="2"/>
      <c r="S51" s="2"/>
      <c r="V51" s="2"/>
    </row>
    <row r="52" spans="2:22" s="5" customFormat="1">
      <c r="B52" s="1"/>
      <c r="C52" s="3"/>
      <c r="D52" s="3"/>
      <c r="E52" s="11"/>
      <c r="F52" s="11"/>
      <c r="G52" s="11"/>
      <c r="M52" s="4"/>
      <c r="P52" s="4"/>
      <c r="S52" s="4"/>
      <c r="V52" s="4"/>
    </row>
    <row r="53" spans="2:22" s="5" customFormat="1">
      <c r="B53" s="1"/>
      <c r="C53" s="3"/>
      <c r="D53" s="3"/>
      <c r="E53" s="11"/>
      <c r="F53" s="11"/>
      <c r="G53" s="11"/>
      <c r="M53" s="4"/>
      <c r="P53" s="4"/>
      <c r="S53" s="4"/>
      <c r="V53" s="4"/>
    </row>
    <row r="54" spans="2:22">
      <c r="B54" s="1"/>
      <c r="L54" s="5"/>
      <c r="M54" s="4"/>
      <c r="N54" s="5"/>
      <c r="P54" s="4"/>
      <c r="S54" s="4"/>
      <c r="V54" s="4"/>
    </row>
    <row r="55" spans="2:22">
      <c r="B55" s="1"/>
      <c r="L55" s="5"/>
      <c r="M55" s="1"/>
      <c r="N55" s="5"/>
      <c r="P55" s="1"/>
      <c r="S55" s="1"/>
      <c r="V55" s="1"/>
    </row>
    <row r="56" spans="2:22">
      <c r="B56" s="1"/>
      <c r="L56" s="5"/>
      <c r="M56" s="1"/>
      <c r="N56" s="5"/>
      <c r="P56" s="1"/>
      <c r="S56" s="1"/>
      <c r="V56" s="1"/>
    </row>
    <row r="57" spans="2:22">
      <c r="B57" s="1"/>
      <c r="M57" s="1"/>
      <c r="P57" s="1"/>
      <c r="S57" s="1"/>
      <c r="V57" s="1"/>
    </row>
    <row r="58" spans="2:22">
      <c r="B58" s="1"/>
      <c r="M58" s="1"/>
      <c r="P58" s="1"/>
      <c r="S58" s="1"/>
      <c r="V58" s="1"/>
    </row>
    <row r="59" spans="2:22">
      <c r="B59" s="1"/>
      <c r="M59" s="1"/>
      <c r="P59" s="1"/>
      <c r="S59" s="1"/>
      <c r="V59" s="1"/>
    </row>
    <row r="60" spans="2:22">
      <c r="B60" s="1"/>
      <c r="M60" s="1"/>
      <c r="P60" s="1"/>
      <c r="S60" s="1"/>
      <c r="V60" s="1"/>
    </row>
    <row r="61" spans="2:22">
      <c r="B61" s="1"/>
      <c r="M61" s="1"/>
      <c r="P61" s="1"/>
      <c r="S61" s="1"/>
      <c r="V61" s="1"/>
    </row>
    <row r="62" spans="2:22">
      <c r="B62" s="1"/>
      <c r="M62" s="1"/>
      <c r="P62" s="1"/>
      <c r="S62" s="1"/>
      <c r="V62" s="1"/>
    </row>
    <row r="63" spans="2:22">
      <c r="B63" s="1"/>
      <c r="M63" s="1"/>
      <c r="P63" s="1"/>
      <c r="S63" s="1"/>
      <c r="V63" s="1"/>
    </row>
    <row r="64" spans="2:22">
      <c r="B64" s="1"/>
      <c r="M64" s="1"/>
      <c r="P64" s="1"/>
      <c r="S64" s="1"/>
      <c r="V64" s="1"/>
    </row>
    <row r="65" spans="13:22">
      <c r="M65" s="1"/>
      <c r="P65" s="1"/>
      <c r="S65" s="1"/>
      <c r="V65" s="1"/>
    </row>
    <row r="66" spans="13:22">
      <c r="M66" s="1"/>
      <c r="P66" s="1"/>
      <c r="S66" s="1"/>
      <c r="V66" s="1"/>
    </row>
    <row r="67" spans="13:22">
      <c r="M67" s="1"/>
      <c r="P67" s="1"/>
      <c r="S67" s="1"/>
      <c r="V67" s="1"/>
    </row>
  </sheetData>
  <pageMargins left="0.7" right="0.7" top="0.75" bottom="0.75" header="0.3" footer="0.3"/>
  <pageSetup orientation="portrait" horizontalDpi="203" verticalDpi="203"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934B-BDE1-47BD-9C4B-30D042F18F4D}">
  <dimension ref="A1:R142"/>
  <sheetViews>
    <sheetView workbookViewId="0">
      <pane ySplit="2" topLeftCell="A123" activePane="bottomLeft" state="frozen"/>
      <selection pane="bottomLeft" activeCell="I136" sqref="I136"/>
    </sheetView>
  </sheetViews>
  <sheetFormatPr defaultColWidth="8.85546875" defaultRowHeight="15.95"/>
  <cols>
    <col min="1" max="1" width="29" style="3" customWidth="1"/>
    <col min="2" max="2" width="6.28515625" style="3" customWidth="1"/>
    <col min="3" max="3" width="59.7109375" style="3" customWidth="1"/>
    <col min="4" max="4" width="1.5703125" style="3" customWidth="1"/>
    <col min="5" max="5" width="14.5703125" style="13" customWidth="1"/>
    <col min="6" max="6" width="2.140625" style="3" customWidth="1"/>
    <col min="7" max="7" width="14.5703125" style="13" customWidth="1"/>
    <col min="8" max="8" width="2.140625" style="3" customWidth="1"/>
    <col min="9" max="9" width="26.5703125" style="3" customWidth="1"/>
    <col min="10" max="10" width="2.42578125" style="3" customWidth="1"/>
    <col min="11" max="11" width="13.7109375" style="3" customWidth="1"/>
    <col min="12" max="12" width="2.7109375" style="3" customWidth="1"/>
    <col min="13" max="13" width="13.7109375" style="3" customWidth="1"/>
    <col min="14" max="14" width="2.7109375" style="3" customWidth="1"/>
    <col min="15" max="15" width="11.42578125" style="3" customWidth="1"/>
    <col min="16" max="16" width="2.140625" style="3" customWidth="1"/>
    <col min="17" max="17" width="2.42578125" style="3" customWidth="1"/>
    <col min="18" max="18" width="21.42578125" style="3" customWidth="1"/>
    <col min="19" max="16384" width="8.85546875" style="3"/>
  </cols>
  <sheetData>
    <row r="1" spans="1:15" s="5" customFormat="1">
      <c r="A1" s="4" t="s">
        <v>109</v>
      </c>
      <c r="E1" s="11"/>
      <c r="G1" s="11"/>
    </row>
    <row r="2" spans="1:15" s="5" customFormat="1" ht="47.65">
      <c r="A2" s="5" t="s">
        <v>1064</v>
      </c>
      <c r="B2" s="4"/>
      <c r="C2" s="5" t="s">
        <v>1065</v>
      </c>
      <c r="E2" s="12" t="s">
        <v>111</v>
      </c>
      <c r="G2" s="12" t="s">
        <v>68</v>
      </c>
      <c r="I2" s="6" t="s">
        <v>5</v>
      </c>
      <c r="J2" s="6"/>
      <c r="K2" s="7" t="s">
        <v>591</v>
      </c>
      <c r="M2" s="7" t="s">
        <v>69</v>
      </c>
      <c r="O2" s="7" t="s">
        <v>70</v>
      </c>
    </row>
    <row r="3" spans="1:15" s="5" customFormat="1">
      <c r="A3" s="4" t="s">
        <v>73</v>
      </c>
      <c r="E3" s="11"/>
      <c r="G3" s="11"/>
    </row>
    <row r="4" spans="1:15">
      <c r="B4" s="1"/>
    </row>
    <row r="5" spans="1:15">
      <c r="B5" s="8" t="b">
        <v>0</v>
      </c>
      <c r="C5" s="3" t="s">
        <v>112</v>
      </c>
      <c r="E5" s="13">
        <v>150</v>
      </c>
      <c r="G5" s="33">
        <v>2900.4</v>
      </c>
      <c r="L5" s="16" t="b">
        <v>0</v>
      </c>
      <c r="N5" s="16" t="b">
        <v>1</v>
      </c>
    </row>
    <row r="6" spans="1:15">
      <c r="A6" s="3" t="s">
        <v>113</v>
      </c>
      <c r="B6" s="8" t="b">
        <v>0</v>
      </c>
      <c r="C6" s="3" t="s">
        <v>1066</v>
      </c>
      <c r="E6" s="13">
        <v>3700</v>
      </c>
      <c r="G6" s="13">
        <v>1414</v>
      </c>
      <c r="L6" s="16" t="b">
        <v>0</v>
      </c>
      <c r="N6" s="16" t="b">
        <v>1</v>
      </c>
    </row>
    <row r="7" spans="1:15">
      <c r="A7" s="3" t="s">
        <v>115</v>
      </c>
      <c r="B7" s="8" t="b">
        <v>0</v>
      </c>
      <c r="C7" s="3" t="s">
        <v>1067</v>
      </c>
      <c r="I7" s="3" t="s">
        <v>12</v>
      </c>
      <c r="L7" s="16" t="b">
        <v>0</v>
      </c>
      <c r="M7" s="10">
        <v>45780</v>
      </c>
      <c r="N7" s="16" t="b">
        <v>1</v>
      </c>
    </row>
    <row r="8" spans="1:15">
      <c r="A8" s="3" t="s">
        <v>115</v>
      </c>
      <c r="B8" s="8" t="b">
        <v>0</v>
      </c>
      <c r="C8" s="3" t="s">
        <v>1068</v>
      </c>
      <c r="L8" s="16" t="b">
        <v>0</v>
      </c>
      <c r="N8" s="16" t="b">
        <v>0</v>
      </c>
    </row>
    <row r="9" spans="1:15">
      <c r="A9" s="3" t="s">
        <v>115</v>
      </c>
      <c r="B9" s="8" t="b">
        <v>0</v>
      </c>
      <c r="C9" s="3" t="s">
        <v>119</v>
      </c>
      <c r="L9" s="16" t="b">
        <v>0</v>
      </c>
      <c r="N9" s="16" t="b">
        <v>0</v>
      </c>
    </row>
    <row r="10" spans="1:15">
      <c r="A10" s="3" t="s">
        <v>115</v>
      </c>
      <c r="B10" s="8" t="b">
        <v>0</v>
      </c>
      <c r="C10" s="3" t="s">
        <v>1069</v>
      </c>
      <c r="L10" s="16" t="b">
        <v>0</v>
      </c>
      <c r="N10" s="16" t="b">
        <v>0</v>
      </c>
    </row>
    <row r="11" spans="1:15">
      <c r="A11" s="3" t="s">
        <v>1070</v>
      </c>
      <c r="B11" s="8" t="b">
        <v>0</v>
      </c>
      <c r="C11" s="3" t="s">
        <v>1071</v>
      </c>
      <c r="L11" s="16" t="b">
        <v>0</v>
      </c>
      <c r="N11" s="16" t="b">
        <v>0</v>
      </c>
    </row>
    <row r="12" spans="1:15">
      <c r="A12" s="3" t="s">
        <v>1070</v>
      </c>
      <c r="B12" s="8" t="b">
        <v>0</v>
      </c>
      <c r="C12" s="3" t="s">
        <v>1072</v>
      </c>
      <c r="L12" s="16" t="b">
        <v>0</v>
      </c>
      <c r="N12" s="16" t="b">
        <v>0</v>
      </c>
    </row>
    <row r="13" spans="1:15">
      <c r="A13" s="3" t="s">
        <v>1073</v>
      </c>
      <c r="B13" s="8" t="b">
        <v>0</v>
      </c>
      <c r="C13" s="3" t="s">
        <v>1074</v>
      </c>
      <c r="I13" s="3" t="s">
        <v>8</v>
      </c>
      <c r="K13" s="10">
        <v>45797</v>
      </c>
      <c r="L13" s="16" t="b">
        <v>1</v>
      </c>
      <c r="M13" s="10">
        <v>45799</v>
      </c>
      <c r="N13" s="16" t="b">
        <v>1</v>
      </c>
    </row>
    <row r="14" spans="1:15">
      <c r="A14" s="3" t="s">
        <v>1073</v>
      </c>
      <c r="B14" s="8" t="b">
        <v>0</v>
      </c>
      <c r="C14" s="3" t="s">
        <v>1075</v>
      </c>
      <c r="I14" s="3" t="s">
        <v>8</v>
      </c>
      <c r="L14" s="16" t="b">
        <v>0</v>
      </c>
      <c r="N14" s="16" t="b">
        <v>0</v>
      </c>
    </row>
    <row r="15" spans="1:15">
      <c r="A15" s="3" t="s">
        <v>1073</v>
      </c>
      <c r="B15" s="8" t="b">
        <v>0</v>
      </c>
      <c r="C15" s="3" t="s">
        <v>1076</v>
      </c>
      <c r="L15" s="16" t="b">
        <v>0</v>
      </c>
      <c r="N15" s="16" t="b">
        <v>0</v>
      </c>
    </row>
    <row r="16" spans="1:15">
      <c r="A16" s="3" t="s">
        <v>1077</v>
      </c>
      <c r="B16" s="8" t="b">
        <v>0</v>
      </c>
      <c r="C16" s="3" t="s">
        <v>1078</v>
      </c>
      <c r="L16" s="16" t="b">
        <v>0</v>
      </c>
      <c r="N16" s="16" t="b">
        <v>0</v>
      </c>
    </row>
    <row r="17" spans="1:14">
      <c r="A17" s="3" t="s">
        <v>1079</v>
      </c>
      <c r="B17" s="8" t="b">
        <v>0</v>
      </c>
      <c r="C17" s="3" t="s">
        <v>1080</v>
      </c>
      <c r="L17" s="16" t="b">
        <v>0</v>
      </c>
      <c r="N17" s="16" t="b">
        <v>0</v>
      </c>
    </row>
    <row r="18" spans="1:14">
      <c r="B18" s="8" t="b">
        <v>0</v>
      </c>
      <c r="C18" s="3" t="s">
        <v>1081</v>
      </c>
      <c r="L18" s="16" t="b">
        <v>0</v>
      </c>
      <c r="N18" s="16" t="b">
        <v>0</v>
      </c>
    </row>
    <row r="19" spans="1:14">
      <c r="B19" s="8" t="b">
        <v>0</v>
      </c>
      <c r="C19" s="3" t="s">
        <v>1082</v>
      </c>
      <c r="I19" s="3" t="s">
        <v>8</v>
      </c>
      <c r="K19" s="10">
        <v>45797</v>
      </c>
      <c r="L19" s="16" t="b">
        <v>1</v>
      </c>
      <c r="M19" s="10">
        <v>45799</v>
      </c>
      <c r="N19" s="16" t="b">
        <v>1</v>
      </c>
    </row>
    <row r="20" spans="1:14">
      <c r="B20" s="1"/>
      <c r="J20" s="5"/>
      <c r="K20" s="5"/>
    </row>
    <row r="21" spans="1:14">
      <c r="A21" s="3" t="s">
        <v>1083</v>
      </c>
      <c r="B21" s="8" t="b">
        <v>0</v>
      </c>
      <c r="C21" s="3" t="s">
        <v>1084</v>
      </c>
      <c r="E21" s="13">
        <v>5000</v>
      </c>
      <c r="G21" s="13">
        <v>7039.26</v>
      </c>
      <c r="J21" s="5"/>
      <c r="K21" s="10">
        <v>45776</v>
      </c>
      <c r="L21" s="16" t="b">
        <v>1</v>
      </c>
      <c r="M21" s="10">
        <v>45777</v>
      </c>
      <c r="N21" s="16" t="b">
        <v>1</v>
      </c>
    </row>
    <row r="22" spans="1:14">
      <c r="B22" s="8" t="b">
        <v>0</v>
      </c>
      <c r="C22" s="3" t="s">
        <v>1085</v>
      </c>
      <c r="K22" s="10">
        <v>45776</v>
      </c>
      <c r="L22" s="16" t="b">
        <v>1</v>
      </c>
      <c r="M22" s="10">
        <v>45777</v>
      </c>
      <c r="N22" s="16" t="b">
        <v>1</v>
      </c>
    </row>
    <row r="23" spans="1:14">
      <c r="B23" s="8" t="b">
        <v>0</v>
      </c>
      <c r="C23" s="3" t="s">
        <v>1086</v>
      </c>
      <c r="K23" s="10">
        <v>45776</v>
      </c>
      <c r="L23" s="16" t="b">
        <v>1</v>
      </c>
      <c r="M23" s="10">
        <v>45777</v>
      </c>
      <c r="N23" s="16" t="b">
        <v>1</v>
      </c>
    </row>
    <row r="24" spans="1:14">
      <c r="A24" s="3" t="s">
        <v>1087</v>
      </c>
      <c r="B24" s="8" t="b">
        <v>0</v>
      </c>
      <c r="C24" s="3" t="s">
        <v>1088</v>
      </c>
      <c r="E24" s="13">
        <v>2500</v>
      </c>
      <c r="G24" s="13">
        <v>1024.21</v>
      </c>
      <c r="J24" s="5"/>
      <c r="K24" s="10">
        <v>45776</v>
      </c>
      <c r="L24" s="16" t="b">
        <v>1</v>
      </c>
      <c r="M24" s="10">
        <v>45777</v>
      </c>
      <c r="N24" s="16" t="b">
        <v>0</v>
      </c>
    </row>
    <row r="25" spans="1:14">
      <c r="A25" s="3" t="s">
        <v>1089</v>
      </c>
      <c r="B25" s="8" t="b">
        <v>0</v>
      </c>
      <c r="C25" s="3" t="s">
        <v>1090</v>
      </c>
      <c r="E25" s="13">
        <v>1400</v>
      </c>
      <c r="G25" s="13">
        <v>4970</v>
      </c>
      <c r="I25" s="67" t="s">
        <v>1091</v>
      </c>
      <c r="J25" s="5"/>
      <c r="K25" s="5"/>
      <c r="L25" s="16" t="b">
        <v>0</v>
      </c>
      <c r="N25" s="16" t="b">
        <v>0</v>
      </c>
    </row>
    <row r="26" spans="1:14">
      <c r="B26" s="8" t="b">
        <v>0</v>
      </c>
      <c r="J26" s="5"/>
      <c r="K26" s="5"/>
      <c r="L26" s="16" t="b">
        <v>0</v>
      </c>
      <c r="N26" s="16" t="b">
        <v>0</v>
      </c>
    </row>
    <row r="27" spans="1:14">
      <c r="B27" s="8" t="b">
        <v>0</v>
      </c>
      <c r="L27" s="16" t="b">
        <v>0</v>
      </c>
      <c r="N27" s="16" t="b">
        <v>0</v>
      </c>
    </row>
    <row r="28" spans="1:14">
      <c r="L28" s="16" t="b">
        <v>0</v>
      </c>
      <c r="M28" s="5"/>
      <c r="N28" s="16" t="b">
        <v>0</v>
      </c>
    </row>
    <row r="29" spans="1:14">
      <c r="A29" s="3" t="s">
        <v>1092</v>
      </c>
      <c r="B29" s="8" t="b">
        <v>0</v>
      </c>
      <c r="C29" s="3" t="s">
        <v>1093</v>
      </c>
      <c r="E29" s="13" t="s">
        <v>156</v>
      </c>
      <c r="L29" s="16" t="b">
        <v>0</v>
      </c>
      <c r="M29" s="5"/>
      <c r="N29" s="16" t="b">
        <v>0</v>
      </c>
    </row>
    <row r="30" spans="1:14">
      <c r="A30" s="3" t="s">
        <v>1094</v>
      </c>
      <c r="B30" s="8" t="b">
        <v>0</v>
      </c>
      <c r="C30" s="3" t="s">
        <v>1093</v>
      </c>
      <c r="E30" s="13" t="s">
        <v>156</v>
      </c>
      <c r="L30" s="16" t="b">
        <v>0</v>
      </c>
      <c r="M30" s="5"/>
      <c r="N30" s="16" t="b">
        <v>0</v>
      </c>
    </row>
    <row r="31" spans="1:14">
      <c r="A31" s="3" t="s">
        <v>1095</v>
      </c>
      <c r="B31" s="8" t="b">
        <v>0</v>
      </c>
      <c r="C31" s="3" t="s">
        <v>1096</v>
      </c>
      <c r="E31" s="13" t="s">
        <v>156</v>
      </c>
      <c r="L31" s="16" t="b">
        <v>0</v>
      </c>
      <c r="M31" s="5"/>
      <c r="N31" s="16" t="b">
        <v>0</v>
      </c>
    </row>
    <row r="32" spans="1:14">
      <c r="A32" s="3" t="s">
        <v>1097</v>
      </c>
      <c r="B32" s="8" t="b">
        <v>0</v>
      </c>
      <c r="C32" s="3" t="s">
        <v>1098</v>
      </c>
      <c r="E32" s="13" t="s">
        <v>156</v>
      </c>
      <c r="L32" s="16" t="b">
        <v>0</v>
      </c>
      <c r="N32" s="16" t="b">
        <v>0</v>
      </c>
    </row>
    <row r="33" spans="1:14">
      <c r="A33" s="3" t="s">
        <v>1099</v>
      </c>
      <c r="B33" s="8" t="b">
        <v>0</v>
      </c>
      <c r="C33" s="3" t="s">
        <v>1100</v>
      </c>
      <c r="E33" s="13" t="s">
        <v>156</v>
      </c>
      <c r="L33" s="16" t="b">
        <v>0</v>
      </c>
      <c r="N33" s="16" t="b">
        <v>0</v>
      </c>
    </row>
    <row r="34" spans="1:14">
      <c r="B34" s="1"/>
      <c r="L34" s="16" t="b">
        <v>0</v>
      </c>
      <c r="N34" s="16" t="b">
        <v>0</v>
      </c>
    </row>
    <row r="35" spans="1:14">
      <c r="A35" s="3" t="s">
        <v>1101</v>
      </c>
      <c r="B35" s="8" t="b">
        <v>0</v>
      </c>
      <c r="C35" s="3" t="s">
        <v>1102</v>
      </c>
      <c r="E35" s="13">
        <v>2800</v>
      </c>
      <c r="G35" s="13">
        <v>4500.6499999999996</v>
      </c>
      <c r="L35" s="16" t="b">
        <v>0</v>
      </c>
      <c r="N35" s="16" t="b">
        <v>0</v>
      </c>
    </row>
    <row r="36" spans="1:14">
      <c r="B36" s="8" t="b">
        <v>0</v>
      </c>
      <c r="C36" s="3" t="s">
        <v>1103</v>
      </c>
      <c r="L36" s="16" t="b">
        <v>0</v>
      </c>
      <c r="N36" s="16" t="b">
        <v>0</v>
      </c>
    </row>
    <row r="37" spans="1:14">
      <c r="B37" s="8" t="b">
        <v>0</v>
      </c>
      <c r="C37" s="3" t="s">
        <v>1104</v>
      </c>
      <c r="G37" s="13">
        <v>400.28</v>
      </c>
      <c r="L37" s="16" t="b">
        <v>0</v>
      </c>
      <c r="N37" s="16" t="b">
        <v>0</v>
      </c>
    </row>
    <row r="38" spans="1:14">
      <c r="B38" s="8" t="b">
        <v>0</v>
      </c>
      <c r="C38" s="3" t="s">
        <v>1105</v>
      </c>
      <c r="L38" s="16" t="b">
        <v>0</v>
      </c>
      <c r="N38" s="16" t="b">
        <v>0</v>
      </c>
    </row>
    <row r="39" spans="1:14">
      <c r="B39" s="8" t="b">
        <v>0</v>
      </c>
      <c r="C39" s="3" t="s">
        <v>170</v>
      </c>
      <c r="G39" s="13">
        <v>2750</v>
      </c>
      <c r="L39" s="16" t="b">
        <v>0</v>
      </c>
      <c r="N39" s="16" t="b">
        <v>0</v>
      </c>
    </row>
    <row r="40" spans="1:14">
      <c r="B40" s="8" t="b">
        <v>0</v>
      </c>
      <c r="C40" s="3" t="s">
        <v>1106</v>
      </c>
      <c r="G40" s="13">
        <v>429.99</v>
      </c>
      <c r="I40" s="3" t="s">
        <v>1107</v>
      </c>
      <c r="L40" s="16" t="b">
        <v>0</v>
      </c>
      <c r="M40" s="10">
        <v>45894</v>
      </c>
      <c r="N40" s="16" t="b">
        <v>0</v>
      </c>
    </row>
    <row r="41" spans="1:14">
      <c r="B41" s="8" t="b">
        <v>0</v>
      </c>
      <c r="L41" s="16" t="b">
        <v>0</v>
      </c>
      <c r="N41" s="16" t="b">
        <v>0</v>
      </c>
    </row>
    <row r="42" spans="1:14">
      <c r="B42" s="1"/>
    </row>
    <row r="43" spans="1:14">
      <c r="A43" s="3" t="s">
        <v>122</v>
      </c>
      <c r="B43" s="8" t="b">
        <v>0</v>
      </c>
      <c r="C43" s="3" t="s">
        <v>126</v>
      </c>
      <c r="E43" s="13">
        <v>2300</v>
      </c>
      <c r="G43" s="23">
        <v>2423.39</v>
      </c>
      <c r="I43" s="3" t="s">
        <v>6</v>
      </c>
      <c r="K43" s="10">
        <v>45776</v>
      </c>
      <c r="L43" s="16" t="b">
        <v>1</v>
      </c>
      <c r="M43" s="10">
        <v>45798</v>
      </c>
      <c r="N43" s="16" t="b">
        <v>1</v>
      </c>
    </row>
    <row r="44" spans="1:14">
      <c r="B44" s="8" t="b">
        <v>0</v>
      </c>
      <c r="C44" s="3" t="s">
        <v>28</v>
      </c>
      <c r="K44" s="5"/>
      <c r="L44" s="16" t="b">
        <v>0</v>
      </c>
      <c r="M44" s="10">
        <v>45798</v>
      </c>
      <c r="N44" s="16" t="b">
        <v>1</v>
      </c>
    </row>
    <row r="45" spans="1:14">
      <c r="B45" s="8" t="b">
        <v>0</v>
      </c>
      <c r="C45" s="3" t="s">
        <v>1108</v>
      </c>
      <c r="K45" s="5"/>
      <c r="L45" s="16" t="b">
        <v>0</v>
      </c>
      <c r="M45" s="10">
        <v>45813</v>
      </c>
      <c r="N45" s="16" t="b">
        <v>1</v>
      </c>
    </row>
    <row r="46" spans="1:14">
      <c r="B46" s="8" t="b">
        <v>0</v>
      </c>
      <c r="C46" s="3" t="s">
        <v>35</v>
      </c>
      <c r="G46" s="13">
        <v>1181.6400000000001</v>
      </c>
      <c r="I46" s="3" t="s">
        <v>1109</v>
      </c>
      <c r="K46" s="5"/>
      <c r="L46" s="16" t="b">
        <v>0</v>
      </c>
      <c r="M46" s="10">
        <v>45799</v>
      </c>
      <c r="N46" s="16" t="b">
        <v>1</v>
      </c>
    </row>
    <row r="47" spans="1:14">
      <c r="B47" s="8" t="b">
        <v>0</v>
      </c>
      <c r="C47" s="3" t="s">
        <v>1110</v>
      </c>
      <c r="I47" s="3" t="s">
        <v>8</v>
      </c>
      <c r="K47" s="5"/>
      <c r="L47" s="16" t="b">
        <v>0</v>
      </c>
      <c r="M47" s="10">
        <v>45799</v>
      </c>
      <c r="N47" s="16" t="b">
        <v>1</v>
      </c>
    </row>
    <row r="48" spans="1:14">
      <c r="B48" s="8" t="b">
        <v>0</v>
      </c>
      <c r="C48" s="3" t="s">
        <v>1111</v>
      </c>
      <c r="K48" s="5"/>
      <c r="L48" s="16" t="b">
        <v>0</v>
      </c>
      <c r="N48" s="16" t="b">
        <v>0</v>
      </c>
    </row>
    <row r="49" spans="1:14">
      <c r="B49" s="8" t="b">
        <v>0</v>
      </c>
      <c r="C49" s="3" t="s">
        <v>1112</v>
      </c>
      <c r="I49" s="3" t="s">
        <v>6</v>
      </c>
      <c r="K49" s="5"/>
      <c r="L49" s="16" t="b">
        <v>0</v>
      </c>
      <c r="M49" s="10">
        <v>45798</v>
      </c>
      <c r="N49" s="16" t="b">
        <v>1</v>
      </c>
    </row>
    <row r="50" spans="1:14">
      <c r="B50" s="8" t="b">
        <v>0</v>
      </c>
      <c r="C50" s="3" t="s">
        <v>173</v>
      </c>
      <c r="I50" s="3" t="s">
        <v>1113</v>
      </c>
      <c r="K50" s="10">
        <v>45777</v>
      </c>
      <c r="L50" s="16" t="b">
        <v>0</v>
      </c>
      <c r="M50" s="10">
        <v>45806</v>
      </c>
      <c r="N50" s="16" t="b">
        <v>1</v>
      </c>
    </row>
    <row r="51" spans="1:14">
      <c r="B51" s="8" t="b">
        <v>0</v>
      </c>
      <c r="C51" s="3" t="s">
        <v>1114</v>
      </c>
      <c r="I51" s="3" t="s">
        <v>6</v>
      </c>
      <c r="L51" s="16" t="b">
        <v>0</v>
      </c>
      <c r="M51" s="10">
        <v>45798</v>
      </c>
      <c r="N51" s="16" t="b">
        <v>1</v>
      </c>
    </row>
    <row r="52" spans="1:14">
      <c r="B52" s="8" t="b">
        <v>0</v>
      </c>
      <c r="C52" s="3" t="s">
        <v>1115</v>
      </c>
      <c r="G52" s="13">
        <v>179.68</v>
      </c>
      <c r="I52" s="3" t="s">
        <v>12</v>
      </c>
      <c r="L52" s="16" t="b">
        <v>0</v>
      </c>
      <c r="M52" s="10">
        <v>45780</v>
      </c>
      <c r="N52" s="16" t="b">
        <v>1</v>
      </c>
    </row>
    <row r="53" spans="1:14">
      <c r="B53" s="8" t="b">
        <v>0</v>
      </c>
      <c r="L53" s="16" t="b">
        <v>0</v>
      </c>
      <c r="N53" s="16" t="b">
        <v>0</v>
      </c>
    </row>
    <row r="54" spans="1:14">
      <c r="B54" s="8" t="b">
        <v>0</v>
      </c>
      <c r="L54" s="16" t="b">
        <v>0</v>
      </c>
      <c r="N54" s="16" t="b">
        <v>0</v>
      </c>
    </row>
    <row r="55" spans="1:14">
      <c r="B55" s="1"/>
    </row>
    <row r="56" spans="1:14">
      <c r="A56" s="3" t="s">
        <v>154</v>
      </c>
      <c r="B56" s="8" t="b">
        <v>0</v>
      </c>
      <c r="C56" s="19" t="s">
        <v>1116</v>
      </c>
      <c r="E56" s="13" t="s">
        <v>156</v>
      </c>
      <c r="I56" s="3" t="s">
        <v>138</v>
      </c>
      <c r="L56" s="16" t="b">
        <v>1</v>
      </c>
      <c r="M56" s="10">
        <v>45777</v>
      </c>
      <c r="N56" s="16" t="b">
        <v>1</v>
      </c>
    </row>
    <row r="57" spans="1:14">
      <c r="A57" s="3" t="s">
        <v>154</v>
      </c>
      <c r="B57" s="8" t="b">
        <v>0</v>
      </c>
      <c r="C57" s="3" t="s">
        <v>1117</v>
      </c>
      <c r="E57" s="13" t="s">
        <v>156</v>
      </c>
      <c r="I57" s="3" t="s">
        <v>138</v>
      </c>
      <c r="L57" s="16" t="b">
        <v>1</v>
      </c>
      <c r="M57" s="10">
        <v>45777</v>
      </c>
      <c r="N57" s="16" t="b">
        <v>1</v>
      </c>
    </row>
    <row r="58" spans="1:14">
      <c r="A58" s="3" t="s">
        <v>154</v>
      </c>
      <c r="B58" s="8" t="b">
        <v>0</v>
      </c>
      <c r="C58" s="3" t="s">
        <v>158</v>
      </c>
      <c r="E58" s="13" t="s">
        <v>156</v>
      </c>
      <c r="I58" s="3" t="s">
        <v>138</v>
      </c>
      <c r="L58" s="16" t="b">
        <v>1</v>
      </c>
      <c r="M58" s="10">
        <v>45777</v>
      </c>
      <c r="N58" s="16" t="b">
        <v>1</v>
      </c>
    </row>
    <row r="59" spans="1:14">
      <c r="A59" s="3" t="s">
        <v>1118</v>
      </c>
      <c r="B59" s="8" t="b">
        <v>0</v>
      </c>
      <c r="C59" s="3" t="s">
        <v>1119</v>
      </c>
      <c r="G59" s="13">
        <v>736.23</v>
      </c>
      <c r="I59" s="3" t="s">
        <v>1120</v>
      </c>
      <c r="L59" s="16" t="b">
        <v>0</v>
      </c>
      <c r="M59" s="10">
        <v>45854</v>
      </c>
      <c r="N59" s="16" t="b">
        <v>1</v>
      </c>
    </row>
    <row r="60" spans="1:14">
      <c r="B60" s="8" t="b">
        <v>0</v>
      </c>
      <c r="C60" s="3" t="s">
        <v>159</v>
      </c>
      <c r="E60" s="13">
        <v>2500</v>
      </c>
      <c r="G60" s="36">
        <v>1486.96</v>
      </c>
      <c r="I60" s="3" t="s">
        <v>138</v>
      </c>
      <c r="K60" s="10">
        <v>45776</v>
      </c>
      <c r="L60" s="16" t="b">
        <v>1</v>
      </c>
      <c r="M60" s="10">
        <v>45777</v>
      </c>
      <c r="N60" s="16" t="b">
        <v>1</v>
      </c>
    </row>
    <row r="61" spans="1:14">
      <c r="B61" s="8" t="b">
        <v>0</v>
      </c>
      <c r="C61" s="3" t="s">
        <v>1121</v>
      </c>
      <c r="K61" s="10">
        <v>45776</v>
      </c>
      <c r="L61" s="16" t="b">
        <v>1</v>
      </c>
      <c r="M61" s="10">
        <v>45777</v>
      </c>
      <c r="N61" s="16" t="b">
        <v>1</v>
      </c>
    </row>
    <row r="62" spans="1:14">
      <c r="B62" s="8" t="b">
        <v>0</v>
      </c>
      <c r="C62" s="3" t="s">
        <v>1122</v>
      </c>
      <c r="E62" s="13">
        <v>700</v>
      </c>
      <c r="K62" s="10">
        <v>45776</v>
      </c>
      <c r="L62" s="16" t="b">
        <v>1</v>
      </c>
      <c r="M62" s="10">
        <v>45777</v>
      </c>
      <c r="N62" s="16" t="b">
        <v>1</v>
      </c>
    </row>
    <row r="63" spans="1:14">
      <c r="B63" s="8" t="b">
        <v>0</v>
      </c>
      <c r="C63" s="3" t="s">
        <v>163</v>
      </c>
      <c r="I63" s="3" t="s">
        <v>164</v>
      </c>
      <c r="K63" s="10"/>
      <c r="L63" s="16" t="b">
        <v>0</v>
      </c>
      <c r="M63" s="10">
        <v>45777</v>
      </c>
      <c r="N63" s="16" t="b">
        <v>1</v>
      </c>
    </row>
    <row r="64" spans="1:14">
      <c r="B64" s="8" t="b">
        <v>0</v>
      </c>
      <c r="C64" s="3" t="s">
        <v>1123</v>
      </c>
      <c r="I64" s="3" t="s">
        <v>146</v>
      </c>
      <c r="L64" s="16" t="b">
        <v>0</v>
      </c>
      <c r="M64" s="10">
        <v>45797</v>
      </c>
      <c r="N64" s="16" t="b">
        <v>1</v>
      </c>
    </row>
    <row r="65" spans="1:18">
      <c r="B65" s="8" t="b">
        <v>0</v>
      </c>
      <c r="C65" s="3" t="s">
        <v>1124</v>
      </c>
      <c r="G65" s="13">
        <v>101.07</v>
      </c>
      <c r="I65" s="3" t="s">
        <v>167</v>
      </c>
      <c r="K65" s="10">
        <v>45776</v>
      </c>
      <c r="L65" s="16" t="b">
        <v>1</v>
      </c>
      <c r="M65" s="10">
        <v>45799</v>
      </c>
      <c r="N65" s="16" t="b">
        <v>1</v>
      </c>
    </row>
    <row r="66" spans="1:18">
      <c r="B66" s="8" t="b">
        <v>0</v>
      </c>
      <c r="C66" s="3" t="s">
        <v>1125</v>
      </c>
      <c r="I66" s="3" t="s">
        <v>167</v>
      </c>
      <c r="K66" s="10">
        <v>45776</v>
      </c>
      <c r="L66" s="16" t="b">
        <v>0</v>
      </c>
      <c r="M66" s="10">
        <v>45799</v>
      </c>
      <c r="N66" s="16" t="b">
        <v>1</v>
      </c>
    </row>
    <row r="67" spans="1:18">
      <c r="B67" s="8" t="b">
        <v>0</v>
      </c>
      <c r="L67" s="16" t="b">
        <v>0</v>
      </c>
      <c r="N67" s="16" t="b">
        <v>0</v>
      </c>
    </row>
    <row r="68" spans="1:18">
      <c r="B68" s="1"/>
    </row>
    <row r="69" spans="1:18">
      <c r="B69" s="1"/>
      <c r="N69" s="16"/>
    </row>
    <row r="70" spans="1:18">
      <c r="A70" s="3" t="s">
        <v>169</v>
      </c>
      <c r="B70" s="8" t="b">
        <v>0</v>
      </c>
      <c r="C70" s="3" t="s">
        <v>1126</v>
      </c>
      <c r="E70" s="13">
        <v>3000</v>
      </c>
      <c r="L70" s="16" t="b">
        <v>0</v>
      </c>
      <c r="N70" s="16" t="b">
        <v>0</v>
      </c>
    </row>
    <row r="71" spans="1:18">
      <c r="B71" s="8" t="b">
        <v>0</v>
      </c>
      <c r="C71" s="3" t="s">
        <v>1127</v>
      </c>
      <c r="L71" s="16" t="b">
        <v>0</v>
      </c>
      <c r="N71" s="16" t="b">
        <v>0</v>
      </c>
    </row>
    <row r="72" spans="1:18">
      <c r="B72" s="8" t="b">
        <v>0</v>
      </c>
      <c r="C72" s="3" t="s">
        <v>1103</v>
      </c>
      <c r="L72" s="16" t="b">
        <v>0</v>
      </c>
      <c r="N72" s="16" t="b">
        <v>0</v>
      </c>
    </row>
    <row r="73" spans="1:18">
      <c r="B73" s="8" t="b">
        <v>0</v>
      </c>
      <c r="C73" s="3" t="s">
        <v>170</v>
      </c>
      <c r="L73" s="16" t="b">
        <v>0</v>
      </c>
      <c r="N73" s="16" t="b">
        <v>0</v>
      </c>
    </row>
    <row r="74" spans="1:18">
      <c r="B74" s="8" t="b">
        <v>0</v>
      </c>
      <c r="C74" s="3" t="s">
        <v>1128</v>
      </c>
      <c r="G74" s="13">
        <v>31.9</v>
      </c>
      <c r="I74" s="3" t="s">
        <v>8</v>
      </c>
      <c r="K74" s="10">
        <v>45799</v>
      </c>
      <c r="L74" s="16" t="b">
        <v>0</v>
      </c>
      <c r="M74" s="10">
        <v>45895</v>
      </c>
      <c r="N74" s="16" t="b">
        <v>0</v>
      </c>
    </row>
    <row r="75" spans="1:18">
      <c r="B75" s="8" t="b">
        <v>0</v>
      </c>
      <c r="C75" s="3" t="s">
        <v>1129</v>
      </c>
      <c r="L75" s="16" t="b">
        <v>0</v>
      </c>
      <c r="N75" s="16" t="b">
        <v>0</v>
      </c>
    </row>
    <row r="76" spans="1:18">
      <c r="B76" s="8" t="b">
        <v>0</v>
      </c>
      <c r="C76" s="3" t="s">
        <v>1130</v>
      </c>
      <c r="I76" s="3" t="s">
        <v>8</v>
      </c>
      <c r="K76" s="10">
        <v>45799</v>
      </c>
      <c r="L76" s="16" t="b">
        <v>0</v>
      </c>
      <c r="N76" s="16" t="b">
        <v>0</v>
      </c>
    </row>
    <row r="77" spans="1:18">
      <c r="B77" s="8" t="b">
        <v>0</v>
      </c>
      <c r="C77" s="3" t="s">
        <v>1131</v>
      </c>
      <c r="G77" s="13" t="s">
        <v>1132</v>
      </c>
      <c r="I77" s="3" t="s">
        <v>138</v>
      </c>
      <c r="K77" s="10">
        <v>45776</v>
      </c>
      <c r="L77" s="16" t="b">
        <v>1</v>
      </c>
      <c r="M77" s="10">
        <v>45777</v>
      </c>
      <c r="N77" s="16" t="b">
        <v>1</v>
      </c>
    </row>
    <row r="78" spans="1:18">
      <c r="B78" s="8" t="b">
        <v>0</v>
      </c>
      <c r="C78" s="3" t="s">
        <v>173</v>
      </c>
      <c r="I78" s="3" t="s">
        <v>146</v>
      </c>
      <c r="L78" s="16" t="b">
        <v>0</v>
      </c>
      <c r="M78" s="10">
        <v>45807</v>
      </c>
      <c r="N78" s="16" t="b">
        <v>1</v>
      </c>
    </row>
    <row r="79" spans="1:18">
      <c r="B79" s="8" t="b">
        <v>0</v>
      </c>
      <c r="C79" s="3" t="s">
        <v>174</v>
      </c>
      <c r="G79" s="13">
        <v>85.51</v>
      </c>
      <c r="I79" s="3" t="s">
        <v>12</v>
      </c>
      <c r="L79" s="16" t="b">
        <v>0</v>
      </c>
      <c r="M79" s="10">
        <v>45796</v>
      </c>
      <c r="N79" s="16" t="b">
        <v>1</v>
      </c>
    </row>
    <row r="80" spans="1:18">
      <c r="B80" s="8" t="b">
        <v>0</v>
      </c>
      <c r="C80" s="3" t="s">
        <v>1133</v>
      </c>
      <c r="G80" s="13">
        <v>133.52000000000001</v>
      </c>
      <c r="I80" s="3" t="s">
        <v>8</v>
      </c>
      <c r="K80" s="10">
        <v>45776</v>
      </c>
      <c r="L80" s="16" t="b">
        <v>1</v>
      </c>
      <c r="M80" s="10">
        <v>45779</v>
      </c>
      <c r="N80" s="16" t="b">
        <v>1</v>
      </c>
      <c r="O80" s="10">
        <v>45796</v>
      </c>
      <c r="R80" s="3" t="s">
        <v>177</v>
      </c>
    </row>
    <row r="81" spans="1:18">
      <c r="B81" s="8" t="b">
        <v>0</v>
      </c>
      <c r="C81" s="3" t="s">
        <v>1134</v>
      </c>
      <c r="I81" s="3" t="s">
        <v>8</v>
      </c>
      <c r="K81" s="10">
        <v>45776</v>
      </c>
      <c r="L81" s="16" t="b">
        <v>1</v>
      </c>
      <c r="M81" s="10">
        <v>45779</v>
      </c>
      <c r="N81" s="16" t="b">
        <v>1</v>
      </c>
      <c r="O81" s="10">
        <v>45796</v>
      </c>
      <c r="R81" s="3" t="s">
        <v>180</v>
      </c>
    </row>
    <row r="82" spans="1:18">
      <c r="B82" s="8" t="b">
        <v>0</v>
      </c>
      <c r="C82" s="3" t="s">
        <v>1135</v>
      </c>
      <c r="I82" s="3" t="s">
        <v>8</v>
      </c>
      <c r="K82" s="10">
        <v>45776</v>
      </c>
      <c r="L82" s="16" t="b">
        <v>1</v>
      </c>
      <c r="M82" s="10">
        <v>45779</v>
      </c>
      <c r="N82" s="16" t="b">
        <v>1</v>
      </c>
      <c r="O82" s="10">
        <v>45796</v>
      </c>
      <c r="R82" s="3" t="s">
        <v>183</v>
      </c>
    </row>
    <row r="83" spans="1:18">
      <c r="B83" s="8" t="b">
        <v>0</v>
      </c>
      <c r="C83" s="3" t="s">
        <v>1136</v>
      </c>
      <c r="G83" s="13">
        <v>121</v>
      </c>
      <c r="I83" s="3" t="s">
        <v>1005</v>
      </c>
      <c r="K83" s="10"/>
      <c r="L83" s="16" t="b">
        <v>0</v>
      </c>
      <c r="M83" s="10">
        <v>45814</v>
      </c>
      <c r="N83" s="16" t="b">
        <v>0</v>
      </c>
      <c r="O83" s="10"/>
    </row>
    <row r="84" spans="1:18">
      <c r="B84" s="8" t="b">
        <v>0</v>
      </c>
      <c r="C84" s="3" t="s">
        <v>1137</v>
      </c>
      <c r="G84" s="13">
        <v>719.02</v>
      </c>
      <c r="I84" s="3" t="s">
        <v>8</v>
      </c>
      <c r="L84" s="16" t="b">
        <v>0</v>
      </c>
      <c r="M84" s="10">
        <v>45799</v>
      </c>
      <c r="N84" s="16" t="b">
        <v>1</v>
      </c>
    </row>
    <row r="85" spans="1:18">
      <c r="B85" s="8" t="b">
        <v>0</v>
      </c>
      <c r="C85" s="3" t="s">
        <v>1138</v>
      </c>
      <c r="I85" s="3" t="s">
        <v>8</v>
      </c>
      <c r="L85" s="16" t="b">
        <v>0</v>
      </c>
      <c r="M85" s="10">
        <v>45799</v>
      </c>
      <c r="N85" s="16" t="b">
        <v>1</v>
      </c>
    </row>
    <row r="86" spans="1:18">
      <c r="B86" s="8" t="b">
        <v>0</v>
      </c>
      <c r="C86" s="3" t="s">
        <v>1139</v>
      </c>
      <c r="I86" s="3" t="s">
        <v>8</v>
      </c>
      <c r="L86" s="16" t="b">
        <v>0</v>
      </c>
      <c r="M86" s="10">
        <v>45799</v>
      </c>
      <c r="N86" s="16" t="b">
        <v>1</v>
      </c>
    </row>
    <row r="87" spans="1:18">
      <c r="B87" s="8" t="b">
        <v>0</v>
      </c>
      <c r="L87" s="16" t="b">
        <v>0</v>
      </c>
      <c r="M87" s="10"/>
      <c r="N87" s="16" t="b">
        <v>0</v>
      </c>
    </row>
    <row r="88" spans="1:18">
      <c r="B88" s="8" t="b">
        <v>0</v>
      </c>
      <c r="L88" s="16" t="b">
        <v>0</v>
      </c>
      <c r="N88" s="16" t="b">
        <v>0</v>
      </c>
    </row>
    <row r="89" spans="1:18">
      <c r="B89" s="1"/>
    </row>
    <row r="90" spans="1:18">
      <c r="A90" s="3" t="s">
        <v>1140</v>
      </c>
      <c r="B90" s="8" t="b">
        <v>0</v>
      </c>
      <c r="C90" s="3" t="s">
        <v>1141</v>
      </c>
      <c r="E90" s="13">
        <v>3400</v>
      </c>
      <c r="G90" s="36">
        <v>3294.06</v>
      </c>
      <c r="I90" s="3" t="s">
        <v>1142</v>
      </c>
      <c r="L90" s="16" t="b">
        <v>0</v>
      </c>
      <c r="N90" s="16" t="b">
        <v>1</v>
      </c>
    </row>
    <row r="91" spans="1:18">
      <c r="B91" s="1"/>
    </row>
    <row r="92" spans="1:18">
      <c r="B92" s="1"/>
      <c r="L92" s="16" t="b">
        <v>0</v>
      </c>
      <c r="N92" s="16" t="b">
        <v>0</v>
      </c>
    </row>
    <row r="93" spans="1:18">
      <c r="A93" s="3" t="s">
        <v>1143</v>
      </c>
      <c r="B93" s="8" t="b">
        <v>0</v>
      </c>
      <c r="C93" s="3" t="s">
        <v>1144</v>
      </c>
      <c r="E93" s="13">
        <v>1200</v>
      </c>
      <c r="L93" s="16" t="b">
        <v>0</v>
      </c>
      <c r="N93" s="16" t="b">
        <v>0</v>
      </c>
    </row>
    <row r="94" spans="1:18">
      <c r="B94" s="8" t="b">
        <v>0</v>
      </c>
      <c r="C94" s="3" t="s">
        <v>1145</v>
      </c>
      <c r="L94" s="16" t="b">
        <v>0</v>
      </c>
      <c r="N94" s="16" t="b">
        <v>0</v>
      </c>
    </row>
    <row r="95" spans="1:18">
      <c r="B95" s="8" t="b">
        <v>0</v>
      </c>
      <c r="C95" s="3" t="s">
        <v>1127</v>
      </c>
      <c r="L95" s="16" t="b">
        <v>0</v>
      </c>
      <c r="N95" s="16" t="b">
        <v>0</v>
      </c>
    </row>
    <row r="96" spans="1:18">
      <c r="B96" s="8" t="b">
        <v>0</v>
      </c>
      <c r="C96" s="3" t="s">
        <v>1103</v>
      </c>
      <c r="L96" s="16" t="b">
        <v>0</v>
      </c>
      <c r="N96" s="16" t="b">
        <v>0</v>
      </c>
    </row>
    <row r="97" spans="1:14">
      <c r="B97" s="8" t="b">
        <v>0</v>
      </c>
      <c r="C97" s="3" t="s">
        <v>170</v>
      </c>
      <c r="L97" s="16" t="b">
        <v>0</v>
      </c>
      <c r="N97" s="16" t="b">
        <v>0</v>
      </c>
    </row>
    <row r="98" spans="1:14">
      <c r="B98" s="8" t="b">
        <v>0</v>
      </c>
      <c r="C98" s="3" t="s">
        <v>1146</v>
      </c>
      <c r="I98" s="3" t="s">
        <v>8</v>
      </c>
      <c r="K98" s="10">
        <v>45797</v>
      </c>
      <c r="L98" s="16" t="b">
        <v>1</v>
      </c>
      <c r="N98" s="16" t="b">
        <v>0</v>
      </c>
    </row>
    <row r="99" spans="1:14">
      <c r="B99" s="8" t="b">
        <v>0</v>
      </c>
      <c r="C99" s="3" t="s">
        <v>1147</v>
      </c>
      <c r="L99" s="16" t="b">
        <v>0</v>
      </c>
      <c r="N99" s="16" t="b">
        <v>0</v>
      </c>
    </row>
    <row r="100" spans="1:14">
      <c r="B100" s="8" t="b">
        <v>0</v>
      </c>
      <c r="L100" s="16" t="b">
        <v>0</v>
      </c>
      <c r="N100" s="16" t="b">
        <v>0</v>
      </c>
    </row>
    <row r="101" spans="1:14">
      <c r="B101" s="8" t="b">
        <v>0</v>
      </c>
      <c r="L101" s="16" t="b">
        <v>0</v>
      </c>
      <c r="N101" s="16" t="b">
        <v>0</v>
      </c>
    </row>
    <row r="102" spans="1:14">
      <c r="B102" s="1"/>
    </row>
    <row r="103" spans="1:14">
      <c r="A103" s="3" t="s">
        <v>1148</v>
      </c>
      <c r="B103" s="8" t="b">
        <v>0</v>
      </c>
      <c r="C103" s="3" t="s">
        <v>1149</v>
      </c>
      <c r="E103" s="13">
        <v>2000</v>
      </c>
      <c r="L103" s="16" t="b">
        <v>0</v>
      </c>
      <c r="N103" s="16" t="b">
        <v>0</v>
      </c>
    </row>
    <row r="104" spans="1:14" ht="16.899999999999999" customHeight="1">
      <c r="B104" s="8" t="b">
        <v>0</v>
      </c>
      <c r="C104" s="3" t="s">
        <v>1150</v>
      </c>
      <c r="L104" s="16" t="b">
        <v>0</v>
      </c>
      <c r="N104" s="16" t="b">
        <v>0</v>
      </c>
    </row>
    <row r="105" spans="1:14">
      <c r="B105" s="8" t="b">
        <v>0</v>
      </c>
      <c r="C105" s="3" t="s">
        <v>1150</v>
      </c>
      <c r="L105" s="16" t="b">
        <v>0</v>
      </c>
      <c r="N105" s="16" t="b">
        <v>0</v>
      </c>
    </row>
    <row r="106" spans="1:14">
      <c r="B106" s="8" t="b">
        <v>0</v>
      </c>
      <c r="C106" s="3" t="s">
        <v>1103</v>
      </c>
      <c r="L106" s="16" t="b">
        <v>0</v>
      </c>
      <c r="N106" s="16" t="b">
        <v>0</v>
      </c>
    </row>
    <row r="107" spans="1:14">
      <c r="B107" s="8" t="b">
        <v>0</v>
      </c>
      <c r="C107" s="3" t="s">
        <v>1151</v>
      </c>
      <c r="I107" s="3" t="s">
        <v>8</v>
      </c>
      <c r="K107" s="10">
        <v>45797</v>
      </c>
      <c r="L107" s="16" t="b">
        <v>0</v>
      </c>
      <c r="N107" s="16" t="b">
        <v>0</v>
      </c>
    </row>
    <row r="108" spans="1:14">
      <c r="B108" s="8" t="b">
        <v>0</v>
      </c>
      <c r="C108" s="3" t="s">
        <v>1105</v>
      </c>
      <c r="L108" s="16" t="b">
        <v>0</v>
      </c>
      <c r="N108" s="16" t="b">
        <v>0</v>
      </c>
    </row>
    <row r="109" spans="1:14">
      <c r="B109" s="8" t="b">
        <v>0</v>
      </c>
      <c r="C109" s="3" t="s">
        <v>170</v>
      </c>
      <c r="L109" s="16" t="b">
        <v>0</v>
      </c>
      <c r="N109" s="16" t="b">
        <v>0</v>
      </c>
    </row>
    <row r="110" spans="1:14">
      <c r="B110" s="8" t="b">
        <v>0</v>
      </c>
      <c r="C110" s="3" t="s">
        <v>1152</v>
      </c>
      <c r="L110" s="16" t="b">
        <v>0</v>
      </c>
      <c r="N110" s="16" t="b">
        <v>0</v>
      </c>
    </row>
    <row r="111" spans="1:14">
      <c r="B111" s="8" t="b">
        <v>0</v>
      </c>
      <c r="C111" s="3" t="s">
        <v>1153</v>
      </c>
      <c r="G111" s="13">
        <v>1012.93</v>
      </c>
      <c r="I111" s="3" t="s">
        <v>745</v>
      </c>
      <c r="L111" s="16" t="b">
        <v>0</v>
      </c>
      <c r="N111" s="16" t="b">
        <v>0</v>
      </c>
    </row>
    <row r="112" spans="1:14">
      <c r="B112" s="8" t="b">
        <v>0</v>
      </c>
      <c r="L112" s="16" t="b">
        <v>0</v>
      </c>
      <c r="N112" s="16" t="b">
        <v>0</v>
      </c>
    </row>
    <row r="113" spans="1:14">
      <c r="A113" s="3" t="s">
        <v>1154</v>
      </c>
      <c r="B113" s="8" t="b">
        <v>0</v>
      </c>
      <c r="C113" s="3" t="s">
        <v>1155</v>
      </c>
      <c r="E113" s="13">
        <v>9200</v>
      </c>
      <c r="G113" s="13">
        <v>3672.72</v>
      </c>
      <c r="I113" s="3" t="s">
        <v>1156</v>
      </c>
      <c r="K113" s="10">
        <v>45796</v>
      </c>
      <c r="L113" s="16" t="b">
        <v>1</v>
      </c>
      <c r="M113" s="10">
        <v>45799</v>
      </c>
      <c r="N113" s="16" t="b">
        <v>1</v>
      </c>
    </row>
    <row r="114" spans="1:14">
      <c r="B114" s="8" t="b">
        <v>0</v>
      </c>
      <c r="C114" s="3" t="s">
        <v>1157</v>
      </c>
      <c r="E114" s="13">
        <v>350</v>
      </c>
      <c r="G114" s="36">
        <v>1689.04</v>
      </c>
      <c r="I114" s="3" t="s">
        <v>138</v>
      </c>
      <c r="L114" s="16" t="b">
        <v>0</v>
      </c>
      <c r="M114" s="10">
        <v>45777</v>
      </c>
      <c r="N114" s="16" t="b">
        <v>0</v>
      </c>
    </row>
    <row r="115" spans="1:14">
      <c r="B115" s="8" t="b">
        <v>0</v>
      </c>
      <c r="C115" s="3" t="s">
        <v>1158</v>
      </c>
      <c r="L115" s="16" t="b">
        <v>0</v>
      </c>
      <c r="N115" s="16" t="b">
        <v>0</v>
      </c>
    </row>
    <row r="116" spans="1:14">
      <c r="B116" s="8" t="b">
        <v>0</v>
      </c>
      <c r="C116" s="3" t="s">
        <v>1159</v>
      </c>
      <c r="I116" s="3" t="s">
        <v>1056</v>
      </c>
      <c r="L116" s="16" t="b">
        <v>0</v>
      </c>
      <c r="M116" s="10">
        <v>45806</v>
      </c>
      <c r="N116" s="16" t="b">
        <v>1</v>
      </c>
    </row>
    <row r="117" spans="1:14">
      <c r="B117" s="8" t="b">
        <v>0</v>
      </c>
      <c r="C117" s="3" t="s">
        <v>1160</v>
      </c>
      <c r="I117" s="3" t="s">
        <v>393</v>
      </c>
      <c r="K117" s="10">
        <v>45796</v>
      </c>
      <c r="L117" s="16" t="b">
        <v>0</v>
      </c>
      <c r="M117" s="10">
        <v>45799</v>
      </c>
      <c r="N117" s="16" t="b">
        <v>0</v>
      </c>
    </row>
    <row r="118" spans="1:14">
      <c r="B118" s="8" t="b">
        <v>0</v>
      </c>
      <c r="L118" s="16" t="b">
        <v>0</v>
      </c>
      <c r="N118" s="16" t="b">
        <v>0</v>
      </c>
    </row>
    <row r="119" spans="1:14">
      <c r="B119" s="1"/>
      <c r="L119" s="16" t="b">
        <v>0</v>
      </c>
      <c r="N119" s="16" t="b">
        <v>0</v>
      </c>
    </row>
    <row r="120" spans="1:14">
      <c r="A120" s="3" t="s">
        <v>1161</v>
      </c>
      <c r="B120" s="8" t="b">
        <v>0</v>
      </c>
      <c r="C120" s="3" t="s">
        <v>1162</v>
      </c>
      <c r="E120" s="13">
        <v>400</v>
      </c>
      <c r="I120" s="3" t="s">
        <v>6</v>
      </c>
      <c r="K120" s="10">
        <v>45796</v>
      </c>
      <c r="L120" s="16" t="b">
        <v>1</v>
      </c>
      <c r="M120" s="10">
        <v>45797</v>
      </c>
      <c r="N120" s="16" t="b">
        <v>1</v>
      </c>
    </row>
    <row r="121" spans="1:14">
      <c r="B121" s="8" t="b">
        <v>0</v>
      </c>
      <c r="C121" s="3" t="s">
        <v>1163</v>
      </c>
      <c r="K121" s="10">
        <v>45796</v>
      </c>
      <c r="L121" s="16" t="b">
        <v>1</v>
      </c>
      <c r="M121" s="10">
        <v>45797</v>
      </c>
      <c r="N121" s="16" t="b">
        <v>1</v>
      </c>
    </row>
    <row r="122" spans="1:14">
      <c r="B122" s="8" t="b">
        <v>0</v>
      </c>
      <c r="L122" s="16" t="b">
        <v>0</v>
      </c>
      <c r="N122" s="16" t="b">
        <v>0</v>
      </c>
    </row>
    <row r="123" spans="1:14">
      <c r="B123" s="8" t="b">
        <v>0</v>
      </c>
      <c r="L123" s="16" t="b">
        <v>0</v>
      </c>
      <c r="N123" s="16" t="b">
        <v>0</v>
      </c>
    </row>
    <row r="124" spans="1:14">
      <c r="B124" s="1"/>
      <c r="C124" s="3" t="s">
        <v>1164</v>
      </c>
      <c r="G124" s="13">
        <v>1274.8</v>
      </c>
      <c r="I124" s="3" t="s">
        <v>745</v>
      </c>
      <c r="L124" s="16" t="b">
        <v>0</v>
      </c>
      <c r="M124" s="10">
        <v>45894</v>
      </c>
      <c r="N124" s="16" t="b">
        <v>0</v>
      </c>
    </row>
    <row r="125" spans="1:14">
      <c r="A125" s="3" t="s">
        <v>1165</v>
      </c>
      <c r="B125" s="9" t="b">
        <v>0</v>
      </c>
      <c r="C125" s="3" t="s">
        <v>1166</v>
      </c>
      <c r="E125" s="13">
        <v>4500</v>
      </c>
      <c r="G125" s="13">
        <v>10391.700000000001</v>
      </c>
      <c r="I125" s="3" t="s">
        <v>1167</v>
      </c>
      <c r="K125" s="10">
        <v>45776</v>
      </c>
      <c r="L125" s="16" t="b">
        <v>1</v>
      </c>
      <c r="M125" s="10">
        <v>45777</v>
      </c>
      <c r="N125" s="16" t="b">
        <v>1</v>
      </c>
    </row>
    <row r="126" spans="1:14">
      <c r="B126" s="8" t="b">
        <v>0</v>
      </c>
      <c r="C126" s="3" t="s">
        <v>1168</v>
      </c>
      <c r="L126" s="16" t="b">
        <v>0</v>
      </c>
      <c r="N126" s="16" t="b">
        <v>0</v>
      </c>
    </row>
    <row r="127" spans="1:14">
      <c r="B127" s="8" t="b">
        <v>0</v>
      </c>
      <c r="C127" s="3" t="s">
        <v>1169</v>
      </c>
      <c r="I127" s="3" t="s">
        <v>8</v>
      </c>
      <c r="L127" s="16" t="b">
        <v>1</v>
      </c>
      <c r="M127" s="10">
        <v>45799</v>
      </c>
      <c r="N127" s="16" t="b">
        <v>1</v>
      </c>
    </row>
    <row r="128" spans="1:14">
      <c r="B128" s="8" t="b">
        <v>0</v>
      </c>
      <c r="C128" s="3" t="s">
        <v>1170</v>
      </c>
      <c r="E128" s="13">
        <v>2400</v>
      </c>
      <c r="G128" s="13">
        <v>3190</v>
      </c>
      <c r="I128" s="3" t="s">
        <v>1171</v>
      </c>
      <c r="L128" s="16" t="b">
        <v>1</v>
      </c>
      <c r="N128" s="16" t="b">
        <v>0</v>
      </c>
    </row>
    <row r="129" spans="1:14">
      <c r="B129" s="8" t="b">
        <v>0</v>
      </c>
      <c r="C129" s="3" t="s">
        <v>1172</v>
      </c>
      <c r="K129" s="10">
        <v>45777</v>
      </c>
      <c r="L129" s="16" t="b">
        <v>1</v>
      </c>
      <c r="M129" s="10">
        <v>45777</v>
      </c>
      <c r="N129" s="16" t="b">
        <v>1</v>
      </c>
    </row>
    <row r="130" spans="1:14">
      <c r="B130" s="8" t="b">
        <v>0</v>
      </c>
      <c r="L130" s="16" t="b">
        <v>0</v>
      </c>
      <c r="N130" s="16" t="b">
        <v>0</v>
      </c>
    </row>
    <row r="131" spans="1:14">
      <c r="A131" s="3" t="s">
        <v>1173</v>
      </c>
      <c r="B131" s="8" t="b">
        <v>0</v>
      </c>
      <c r="C131" s="3" t="s">
        <v>1174</v>
      </c>
      <c r="L131" s="16" t="b">
        <v>0</v>
      </c>
      <c r="N131" s="16" t="b">
        <v>0</v>
      </c>
    </row>
    <row r="132" spans="1:14">
      <c r="B132" s="8" t="b">
        <v>0</v>
      </c>
      <c r="L132" s="16" t="b">
        <v>0</v>
      </c>
      <c r="N132" s="16" t="b">
        <v>0</v>
      </c>
    </row>
    <row r="133" spans="1:14">
      <c r="B133" s="8" t="b">
        <v>0</v>
      </c>
      <c r="L133" s="16" t="b">
        <v>0</v>
      </c>
      <c r="N133" s="16" t="b">
        <v>0</v>
      </c>
    </row>
    <row r="134" spans="1:14">
      <c r="B134" s="2"/>
      <c r="E134" s="11">
        <f>SUM(E6:E131)</f>
        <v>47350</v>
      </c>
      <c r="G134" s="11">
        <f>SUM(G6:G131)</f>
        <v>54253.560000000012</v>
      </c>
    </row>
    <row r="135" spans="1:14">
      <c r="B135" s="2"/>
      <c r="C135" s="69" t="s">
        <v>67</v>
      </c>
      <c r="E135" s="11"/>
      <c r="G135" s="68">
        <v>-47350</v>
      </c>
    </row>
    <row r="136" spans="1:14">
      <c r="B136" s="2"/>
      <c r="E136" s="11"/>
      <c r="G136" s="11">
        <f>SUM(G134:G135)</f>
        <v>6903.5600000000122</v>
      </c>
    </row>
    <row r="137" spans="1:14">
      <c r="B137" s="2"/>
      <c r="E137" s="11"/>
      <c r="G137" s="11"/>
    </row>
    <row r="138" spans="1:14">
      <c r="B138" s="2"/>
      <c r="C138" s="3" t="s">
        <v>1175</v>
      </c>
      <c r="G138" s="13">
        <v>7737.32</v>
      </c>
    </row>
    <row r="139" spans="1:14">
      <c r="B139" s="2"/>
      <c r="C139" s="3" t="s">
        <v>1176</v>
      </c>
      <c r="G139" s="13">
        <f>2900.4-150</f>
        <v>2750.4</v>
      </c>
    </row>
    <row r="140" spans="1:14" s="5" customFormat="1">
      <c r="A140" s="4"/>
      <c r="C140" s="3" t="s">
        <v>1177</v>
      </c>
      <c r="E140" s="11"/>
      <c r="G140" s="13">
        <v>1957</v>
      </c>
      <c r="I140" s="3"/>
      <c r="J140" s="3"/>
      <c r="K140" s="3"/>
      <c r="L140" s="3"/>
      <c r="M140" s="3"/>
    </row>
    <row r="141" spans="1:14">
      <c r="C141" s="3" t="s">
        <v>1178</v>
      </c>
      <c r="G141" s="43">
        <v>-2800</v>
      </c>
    </row>
    <row r="142" spans="1:14">
      <c r="C142" s="3" t="s">
        <v>1179</v>
      </c>
    </row>
  </sheetData>
  <pageMargins left="0.7" right="0.7" top="0.75" bottom="0.75" header="0.3" footer="0.3"/>
  <pageSetup orientation="portrait" horizontalDpi="203" verticalDpi="203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C282-917A-433D-8CDB-E9BCCDA5F429}">
  <dimension ref="A1:W74"/>
  <sheetViews>
    <sheetView topLeftCell="C1" workbookViewId="0">
      <pane ySplit="1" topLeftCell="A26" activePane="bottomLeft" state="frozen"/>
      <selection pane="bottomLeft" activeCell="N26" sqref="N26"/>
      <selection activeCell="C1" sqref="C1"/>
    </sheetView>
  </sheetViews>
  <sheetFormatPr defaultColWidth="8.85546875" defaultRowHeight="15.95"/>
  <cols>
    <col min="1" max="1" width="12.7109375" style="3" customWidth="1"/>
    <col min="2" max="2" width="9.140625" style="3"/>
    <col min="3" max="3" width="49.5703125" style="3" customWidth="1"/>
    <col min="4" max="4" width="22" style="13" customWidth="1"/>
    <col min="5" max="5" width="19.42578125" style="13" customWidth="1"/>
    <col min="6" max="6" width="2.140625" style="3" customWidth="1"/>
    <col min="7" max="7" width="26.5703125" style="3" customWidth="1"/>
    <col min="8" max="8" width="2.42578125" style="3" customWidth="1"/>
    <col min="9" max="9" width="13.7109375" style="3" customWidth="1"/>
    <col min="10" max="10" width="2.42578125" style="3" customWidth="1"/>
    <col min="11" max="11" width="9.140625" style="3"/>
    <col min="12" max="12" width="13.7109375" style="3" customWidth="1"/>
    <col min="13" max="13" width="2.7109375" style="3" customWidth="1"/>
    <col min="14" max="14" width="9.140625" style="3"/>
    <col min="15" max="15" width="13.7109375" style="3" customWidth="1"/>
    <col min="16" max="16" width="2.7109375" style="3" customWidth="1"/>
    <col min="17" max="17" width="9.140625" style="3"/>
    <col min="18" max="18" width="11.42578125" style="3" customWidth="1"/>
    <col min="19" max="19" width="2.140625" style="3" customWidth="1"/>
    <col min="20" max="20" width="9.140625" style="3"/>
    <col min="21" max="21" width="11.42578125" style="3" customWidth="1"/>
    <col min="22" max="22" width="32.5703125" style="3" customWidth="1"/>
    <col min="23" max="23" width="21.42578125" style="3" customWidth="1"/>
    <col min="24" max="16384" width="8.85546875" style="3"/>
  </cols>
  <sheetData>
    <row r="1" spans="1:23" s="5" customFormat="1" ht="45" customHeight="1">
      <c r="B1" s="4"/>
      <c r="D1" s="12" t="s">
        <v>111</v>
      </c>
      <c r="E1" s="12" t="s">
        <v>1180</v>
      </c>
      <c r="G1" s="6" t="s">
        <v>5</v>
      </c>
      <c r="H1" s="6"/>
      <c r="I1" s="7" t="s">
        <v>591</v>
      </c>
      <c r="J1" s="6"/>
      <c r="K1" s="17"/>
      <c r="L1" s="7" t="s">
        <v>193</v>
      </c>
      <c r="N1" s="17"/>
      <c r="O1" s="7" t="s">
        <v>69</v>
      </c>
      <c r="Q1" s="17"/>
      <c r="R1" s="7" t="s">
        <v>70</v>
      </c>
      <c r="T1" s="17"/>
      <c r="U1" s="7" t="s">
        <v>71</v>
      </c>
      <c r="V1" s="6" t="s">
        <v>72</v>
      </c>
      <c r="W1" s="25" t="s">
        <v>1181</v>
      </c>
    </row>
    <row r="2" spans="1:23" s="5" customFormat="1">
      <c r="A2" s="4" t="s">
        <v>73</v>
      </c>
      <c r="D2" s="11"/>
      <c r="E2" s="11"/>
      <c r="I2" s="24">
        <v>45757</v>
      </c>
    </row>
    <row r="3" spans="1:23">
      <c r="B3" s="1"/>
      <c r="I3" s="10">
        <v>45761</v>
      </c>
      <c r="K3" s="1"/>
      <c r="N3" s="1"/>
      <c r="Q3" s="1"/>
      <c r="T3" s="1"/>
    </row>
    <row r="4" spans="1:23">
      <c r="A4" s="20"/>
      <c r="B4" s="20"/>
      <c r="C4" s="20"/>
      <c r="D4" s="23"/>
      <c r="E4" s="23"/>
      <c r="K4" s="1"/>
      <c r="N4" s="1"/>
      <c r="Q4" s="1"/>
      <c r="T4" s="1"/>
    </row>
    <row r="5" spans="1:23">
      <c r="A5" s="20"/>
      <c r="B5" s="20"/>
      <c r="C5" s="20" t="s">
        <v>562</v>
      </c>
      <c r="D5" s="23"/>
      <c r="E5" s="23"/>
      <c r="K5" s="8" t="b">
        <v>0</v>
      </c>
      <c r="N5" s="8" t="b">
        <v>0</v>
      </c>
      <c r="Q5" s="8" t="b">
        <v>0</v>
      </c>
      <c r="T5" s="8" t="b">
        <v>0</v>
      </c>
    </row>
    <row r="6" spans="1:23">
      <c r="A6" s="20"/>
      <c r="B6" s="20"/>
      <c r="C6" s="20" t="s">
        <v>1182</v>
      </c>
      <c r="D6" s="23"/>
      <c r="E6" s="23"/>
      <c r="K6" s="8" t="b">
        <v>0</v>
      </c>
      <c r="N6" s="8" t="b">
        <v>0</v>
      </c>
      <c r="Q6" s="8" t="b">
        <v>0</v>
      </c>
      <c r="T6" s="8" t="b">
        <v>0</v>
      </c>
    </row>
    <row r="7" spans="1:23">
      <c r="A7" s="20"/>
      <c r="B7" s="20"/>
      <c r="C7" s="20"/>
      <c r="D7" s="23"/>
      <c r="E7" s="23"/>
      <c r="K7" s="8" t="b">
        <v>0</v>
      </c>
      <c r="N7" s="8" t="b">
        <v>0</v>
      </c>
      <c r="Q7" s="8" t="b">
        <v>0</v>
      </c>
      <c r="T7" s="8" t="b">
        <v>0</v>
      </c>
    </row>
    <row r="8" spans="1:23">
      <c r="A8" s="20"/>
      <c r="B8" s="20"/>
      <c r="C8" s="20"/>
      <c r="D8" s="23"/>
      <c r="E8" s="23"/>
      <c r="K8" s="8" t="b">
        <v>0</v>
      </c>
      <c r="N8" s="8" t="b">
        <v>0</v>
      </c>
      <c r="Q8" s="8" t="b">
        <v>0</v>
      </c>
      <c r="T8" s="8" t="b">
        <v>0</v>
      </c>
    </row>
    <row r="9" spans="1:23">
      <c r="A9" s="20"/>
      <c r="B9" s="20"/>
      <c r="C9" s="20"/>
      <c r="D9" s="23"/>
      <c r="E9" s="23"/>
      <c r="K9" s="8" t="b">
        <v>0</v>
      </c>
      <c r="N9" s="8" t="b">
        <v>0</v>
      </c>
      <c r="Q9" s="8" t="b">
        <v>0</v>
      </c>
      <c r="T9" s="8" t="b">
        <v>0</v>
      </c>
    </row>
    <row r="10" spans="1:23">
      <c r="A10" s="20" t="s">
        <v>563</v>
      </c>
      <c r="B10" s="20"/>
      <c r="C10" s="20" t="s">
        <v>1183</v>
      </c>
      <c r="D10" s="23"/>
      <c r="E10" s="23"/>
      <c r="G10" s="3" t="s">
        <v>6</v>
      </c>
      <c r="I10" s="10">
        <v>45761</v>
      </c>
      <c r="K10" s="8" t="b">
        <v>1</v>
      </c>
      <c r="L10" s="10">
        <v>45761</v>
      </c>
      <c r="N10" s="8" t="b">
        <v>1</v>
      </c>
      <c r="O10" s="10">
        <v>45762</v>
      </c>
      <c r="Q10" s="8" t="b">
        <v>1</v>
      </c>
      <c r="R10" s="10"/>
      <c r="T10" s="8" t="b">
        <v>0</v>
      </c>
    </row>
    <row r="11" spans="1:23">
      <c r="A11" s="20"/>
      <c r="B11" s="20"/>
      <c r="C11" s="20" t="s">
        <v>206</v>
      </c>
      <c r="D11" s="23"/>
      <c r="E11" s="23">
        <v>139.63999999999999</v>
      </c>
      <c r="G11" s="3" t="s">
        <v>6</v>
      </c>
      <c r="I11" s="10">
        <v>45761</v>
      </c>
      <c r="K11" s="8" t="b">
        <v>1</v>
      </c>
      <c r="L11" s="10">
        <v>45761</v>
      </c>
      <c r="N11" s="8" t="b">
        <v>1</v>
      </c>
      <c r="O11" s="10">
        <v>45772</v>
      </c>
      <c r="Q11" s="8" t="b">
        <v>1</v>
      </c>
      <c r="R11" s="10"/>
      <c r="T11" s="8" t="b">
        <v>0</v>
      </c>
    </row>
    <row r="12" spans="1:23">
      <c r="A12" s="20"/>
      <c r="B12" s="20"/>
      <c r="C12" s="20" t="s">
        <v>1184</v>
      </c>
      <c r="D12" s="23">
        <v>400</v>
      </c>
      <c r="E12" s="23">
        <v>280.37</v>
      </c>
      <c r="G12" s="3" t="s">
        <v>8</v>
      </c>
      <c r="I12" s="10">
        <v>45761</v>
      </c>
      <c r="K12" s="8" t="b">
        <v>1</v>
      </c>
      <c r="L12" s="10">
        <v>45761</v>
      </c>
      <c r="N12" s="8" t="b">
        <v>1</v>
      </c>
      <c r="O12" s="10">
        <v>45772</v>
      </c>
      <c r="Q12" s="8" t="b">
        <v>1</v>
      </c>
      <c r="R12" s="10"/>
      <c r="T12" s="8" t="b">
        <v>0</v>
      </c>
    </row>
    <row r="13" spans="1:23">
      <c r="A13" s="20"/>
      <c r="B13" s="20"/>
      <c r="C13" s="20" t="s">
        <v>1185</v>
      </c>
      <c r="D13" s="23"/>
      <c r="E13" s="23">
        <v>54.1</v>
      </c>
      <c r="G13" s="3" t="s">
        <v>1186</v>
      </c>
      <c r="I13" s="10">
        <v>45761</v>
      </c>
      <c r="K13" s="8" t="b">
        <v>1</v>
      </c>
      <c r="L13" s="10">
        <v>45761</v>
      </c>
      <c r="N13" s="8" t="b">
        <v>1</v>
      </c>
      <c r="O13" s="10">
        <v>45762</v>
      </c>
      <c r="Q13" s="8" t="b">
        <v>1</v>
      </c>
      <c r="R13" s="10"/>
      <c r="T13" s="8" t="b">
        <v>0</v>
      </c>
    </row>
    <row r="14" spans="1:23">
      <c r="A14" s="20"/>
      <c r="B14" s="20"/>
      <c r="C14" s="20"/>
      <c r="D14" s="23"/>
      <c r="E14" s="23"/>
      <c r="I14" s="10"/>
      <c r="K14" s="8" t="b">
        <v>0</v>
      </c>
      <c r="L14" s="10"/>
      <c r="N14" s="8" t="b">
        <v>0</v>
      </c>
      <c r="O14" s="10"/>
      <c r="Q14" s="8" t="b">
        <v>0</v>
      </c>
      <c r="R14" s="10"/>
      <c r="T14" s="8" t="b">
        <v>0</v>
      </c>
    </row>
    <row r="15" spans="1:23">
      <c r="A15" s="20"/>
      <c r="B15" s="20"/>
      <c r="C15" s="20"/>
      <c r="D15" s="23"/>
      <c r="E15" s="23"/>
      <c r="I15" s="10"/>
      <c r="K15" s="8" t="b">
        <v>0</v>
      </c>
      <c r="L15" s="10"/>
      <c r="N15" s="8" t="b">
        <v>0</v>
      </c>
      <c r="O15" s="10"/>
      <c r="Q15" s="8" t="b">
        <v>0</v>
      </c>
      <c r="R15" s="10"/>
      <c r="T15" s="8" t="b">
        <v>0</v>
      </c>
    </row>
    <row r="16" spans="1:23">
      <c r="A16" s="20"/>
      <c r="B16" s="20"/>
      <c r="C16" s="20"/>
      <c r="D16" s="23"/>
      <c r="E16" s="23"/>
      <c r="K16" s="8" t="b">
        <v>0</v>
      </c>
      <c r="L16" s="10"/>
      <c r="N16" s="8" t="b">
        <v>0</v>
      </c>
      <c r="O16" s="10"/>
      <c r="Q16" s="8" t="b">
        <v>0</v>
      </c>
      <c r="R16" s="10"/>
      <c r="T16" s="8" t="b">
        <v>0</v>
      </c>
    </row>
    <row r="17" spans="1:20">
      <c r="A17" s="20"/>
      <c r="B17" s="20"/>
      <c r="C17" s="20"/>
      <c r="D17" s="23"/>
      <c r="E17" s="23"/>
      <c r="K17" s="8" t="b">
        <v>0</v>
      </c>
      <c r="L17" s="10"/>
      <c r="N17" s="8" t="b">
        <v>0</v>
      </c>
      <c r="O17" s="10"/>
      <c r="Q17" s="8" t="b">
        <v>0</v>
      </c>
      <c r="R17" s="10"/>
      <c r="T17" s="8" t="b">
        <v>0</v>
      </c>
    </row>
    <row r="18" spans="1:20">
      <c r="A18" s="20"/>
      <c r="B18" s="20"/>
      <c r="C18" s="20"/>
      <c r="D18" s="23"/>
      <c r="E18" s="23"/>
      <c r="K18" s="8" t="b">
        <v>0</v>
      </c>
      <c r="L18" s="10"/>
      <c r="N18" s="8" t="b">
        <v>0</v>
      </c>
      <c r="O18" s="10"/>
      <c r="Q18" s="8" t="b">
        <v>0</v>
      </c>
      <c r="R18" s="10"/>
      <c r="T18" s="8" t="b">
        <v>0</v>
      </c>
    </row>
    <row r="19" spans="1:20">
      <c r="A19" s="20"/>
      <c r="B19" s="20"/>
      <c r="C19" s="20"/>
      <c r="D19" s="23"/>
      <c r="E19" s="23"/>
      <c r="I19" s="10"/>
      <c r="K19" s="8" t="b">
        <v>0</v>
      </c>
      <c r="L19" s="10"/>
      <c r="N19" s="8" t="b">
        <v>0</v>
      </c>
      <c r="O19" s="10"/>
      <c r="Q19" s="8" t="b">
        <v>0</v>
      </c>
      <c r="R19" s="10"/>
      <c r="T19" s="8" t="b">
        <v>0</v>
      </c>
    </row>
    <row r="20" spans="1:20">
      <c r="A20" s="20"/>
      <c r="B20" s="20"/>
      <c r="C20" s="20"/>
      <c r="D20" s="23"/>
      <c r="E20" s="23"/>
      <c r="I20" s="10"/>
      <c r="O20" s="10"/>
      <c r="Q20" s="1"/>
      <c r="T20" s="1"/>
    </row>
    <row r="21" spans="1:20" ht="31.7">
      <c r="A21" s="20" t="s">
        <v>324</v>
      </c>
      <c r="B21" s="20"/>
      <c r="C21" s="30" t="s">
        <v>1187</v>
      </c>
      <c r="D21" s="23"/>
      <c r="E21" s="23"/>
      <c r="K21" s="8" t="b">
        <v>0</v>
      </c>
      <c r="L21" s="10"/>
      <c r="N21" s="8" t="b">
        <v>0</v>
      </c>
      <c r="O21" s="10"/>
      <c r="Q21" s="8" t="b">
        <v>0</v>
      </c>
      <c r="T21" s="8" t="b">
        <v>0</v>
      </c>
    </row>
    <row r="22" spans="1:20">
      <c r="A22" s="20"/>
      <c r="B22" s="20"/>
      <c r="C22" s="20"/>
      <c r="D22" s="23"/>
      <c r="E22" s="23"/>
      <c r="K22" s="1"/>
      <c r="N22" s="1"/>
    </row>
    <row r="23" spans="1:20">
      <c r="A23" s="20"/>
      <c r="B23" s="20"/>
      <c r="C23" s="20"/>
      <c r="D23" s="23"/>
      <c r="E23" s="23"/>
      <c r="K23" s="18"/>
      <c r="N23" s="18"/>
      <c r="Q23" s="18"/>
      <c r="T23" s="18"/>
    </row>
    <row r="24" spans="1:20">
      <c r="A24" s="20"/>
      <c r="B24" s="20"/>
      <c r="C24" s="20"/>
      <c r="D24" s="23"/>
      <c r="E24" s="23"/>
      <c r="K24" s="18"/>
      <c r="N24" s="18"/>
      <c r="Q24" s="18"/>
      <c r="T24" s="18"/>
    </row>
    <row r="25" spans="1:20">
      <c r="A25" s="20" t="s">
        <v>407</v>
      </c>
      <c r="B25" s="20"/>
      <c r="C25" s="21" t="s">
        <v>1188</v>
      </c>
      <c r="D25" s="23">
        <v>1200</v>
      </c>
      <c r="E25" s="23">
        <v>1032</v>
      </c>
      <c r="G25" s="3" t="s">
        <v>138</v>
      </c>
      <c r="I25" s="10">
        <v>45770</v>
      </c>
      <c r="K25" s="8" t="b">
        <v>1</v>
      </c>
      <c r="L25" s="10">
        <v>45772</v>
      </c>
      <c r="N25" s="8" t="b">
        <v>1</v>
      </c>
      <c r="O25" s="27">
        <v>45775</v>
      </c>
      <c r="Q25" s="8" t="b">
        <v>0</v>
      </c>
      <c r="T25" s="8" t="b">
        <v>0</v>
      </c>
    </row>
    <row r="26" spans="1:20">
      <c r="A26" s="20" t="s">
        <v>411</v>
      </c>
      <c r="B26" s="20"/>
      <c r="C26" s="21" t="s">
        <v>1189</v>
      </c>
      <c r="D26" s="28"/>
      <c r="E26" s="28">
        <v>354</v>
      </c>
      <c r="G26" s="3" t="s">
        <v>1190</v>
      </c>
      <c r="K26" s="8" t="b">
        <v>1</v>
      </c>
      <c r="L26" s="10"/>
      <c r="N26" s="8" t="b">
        <v>1</v>
      </c>
      <c r="O26" s="10">
        <v>45775</v>
      </c>
      <c r="Q26" s="8" t="b">
        <v>1</v>
      </c>
      <c r="T26" s="8" t="b">
        <v>0</v>
      </c>
    </row>
    <row r="27" spans="1:20">
      <c r="A27" s="20"/>
      <c r="B27" s="20"/>
      <c r="C27" s="31" t="s">
        <v>1191</v>
      </c>
      <c r="D27" s="23"/>
      <c r="E27" s="23"/>
      <c r="K27" s="1"/>
      <c r="L27" s="10"/>
      <c r="N27" s="1"/>
      <c r="Q27" s="1"/>
      <c r="T27" s="1"/>
    </row>
    <row r="28" spans="1:20">
      <c r="A28" s="20" t="s">
        <v>366</v>
      </c>
      <c r="B28" s="20"/>
      <c r="C28" s="20" t="s">
        <v>1192</v>
      </c>
      <c r="D28" s="23">
        <v>337.5</v>
      </c>
      <c r="E28" s="23">
        <v>232.38</v>
      </c>
      <c r="G28" s="3" t="s">
        <v>8</v>
      </c>
      <c r="I28" s="10">
        <v>45761</v>
      </c>
      <c r="K28" s="8" t="b">
        <v>1</v>
      </c>
      <c r="L28" s="10">
        <v>45761</v>
      </c>
      <c r="N28" s="8" t="b">
        <v>1</v>
      </c>
      <c r="O28" s="10">
        <v>45761</v>
      </c>
      <c r="Q28" s="8" t="b">
        <v>1</v>
      </c>
      <c r="R28" s="10">
        <v>45764</v>
      </c>
      <c r="T28" s="8" t="b">
        <v>0</v>
      </c>
    </row>
    <row r="29" spans="1:20">
      <c r="A29" s="20"/>
      <c r="B29" s="20"/>
      <c r="C29" s="20"/>
      <c r="D29" s="23"/>
      <c r="E29" s="23"/>
      <c r="K29" s="8" t="b">
        <v>0</v>
      </c>
      <c r="L29" s="10"/>
      <c r="N29" s="8" t="b">
        <v>0</v>
      </c>
      <c r="O29" s="10"/>
      <c r="Q29" s="8" t="b">
        <v>0</v>
      </c>
      <c r="T29" s="8" t="b">
        <v>0</v>
      </c>
    </row>
    <row r="30" spans="1:20">
      <c r="A30" s="20"/>
      <c r="B30" s="20"/>
      <c r="C30" s="20"/>
      <c r="D30" s="23"/>
      <c r="E30" s="23"/>
      <c r="K30" s="8" t="b">
        <v>0</v>
      </c>
      <c r="L30" s="10"/>
      <c r="N30" s="8" t="b">
        <v>0</v>
      </c>
      <c r="Q30" s="8" t="b">
        <v>0</v>
      </c>
      <c r="T30" s="8" t="b">
        <v>0</v>
      </c>
    </row>
    <row r="31" spans="1:20">
      <c r="A31" s="20"/>
      <c r="B31" s="20"/>
      <c r="C31" s="20"/>
      <c r="D31" s="23"/>
      <c r="E31" s="23"/>
      <c r="K31" s="8" t="b">
        <v>0</v>
      </c>
      <c r="L31" s="10"/>
      <c r="N31" s="8" t="b">
        <v>0</v>
      </c>
      <c r="Q31" s="8" t="b">
        <v>0</v>
      </c>
      <c r="T31" s="8" t="b">
        <v>0</v>
      </c>
    </row>
    <row r="32" spans="1:20">
      <c r="A32" s="20"/>
      <c r="B32" s="20"/>
      <c r="C32" s="20"/>
      <c r="D32" s="23"/>
      <c r="E32" s="23"/>
      <c r="K32" s="1"/>
      <c r="L32" s="10"/>
      <c r="N32" s="1"/>
      <c r="Q32" s="1"/>
      <c r="T32" s="1"/>
    </row>
    <row r="33" spans="1:20">
      <c r="A33" s="20"/>
      <c r="B33" s="20"/>
      <c r="C33" s="20"/>
      <c r="D33" s="23"/>
      <c r="E33" s="23"/>
      <c r="K33" s="1"/>
      <c r="L33" s="10"/>
      <c r="N33" s="1"/>
      <c r="Q33" s="1"/>
      <c r="T33" s="1"/>
    </row>
    <row r="34" spans="1:20">
      <c r="A34" s="20"/>
      <c r="B34" s="20"/>
      <c r="C34" s="20"/>
      <c r="D34" s="23"/>
      <c r="E34" s="23"/>
      <c r="K34" s="1"/>
      <c r="L34" s="10"/>
      <c r="N34" s="1"/>
      <c r="Q34" s="1"/>
      <c r="T34" s="1"/>
    </row>
    <row r="35" spans="1:20" ht="31.7">
      <c r="A35" s="20" t="s">
        <v>377</v>
      </c>
      <c r="B35" s="20"/>
      <c r="C35" s="20" t="s">
        <v>1193</v>
      </c>
      <c r="D35" s="23"/>
      <c r="E35" s="23"/>
      <c r="G35" s="22" t="s">
        <v>1194</v>
      </c>
      <c r="I35" s="19" t="s">
        <v>1195</v>
      </c>
      <c r="K35" s="18"/>
      <c r="N35" s="18"/>
      <c r="Q35" s="18"/>
      <c r="R35" s="10">
        <v>45764</v>
      </c>
      <c r="T35" s="18"/>
    </row>
    <row r="36" spans="1:20">
      <c r="A36" s="20"/>
      <c r="B36" s="20"/>
      <c r="C36" s="20" t="s">
        <v>1196</v>
      </c>
      <c r="D36" s="23"/>
      <c r="E36" s="23"/>
      <c r="G36" s="3" t="s">
        <v>1194</v>
      </c>
      <c r="K36" s="18"/>
      <c r="N36" s="18"/>
      <c r="Q36" s="18"/>
      <c r="T36" s="18"/>
    </row>
    <row r="37" spans="1:20">
      <c r="A37" s="20"/>
      <c r="B37" s="20"/>
      <c r="C37" s="20"/>
      <c r="D37" s="23"/>
      <c r="E37" s="23"/>
      <c r="K37" s="1"/>
      <c r="L37" s="10"/>
      <c r="N37" s="1"/>
      <c r="Q37" s="1"/>
      <c r="T37" s="1"/>
    </row>
    <row r="38" spans="1:20">
      <c r="A38" s="20"/>
      <c r="B38" s="20"/>
      <c r="C38" s="20"/>
      <c r="D38" s="29">
        <f>SUM(D2:D37)</f>
        <v>1937.5</v>
      </c>
      <c r="E38" s="29">
        <f>SUM(E2:E37)</f>
        <v>2092.4900000000002</v>
      </c>
      <c r="K38" s="1"/>
      <c r="N38" s="1"/>
      <c r="Q38" s="1"/>
      <c r="T38" s="1"/>
    </row>
    <row r="39" spans="1:20" s="5" customFormat="1">
      <c r="B39" s="4"/>
      <c r="D39" s="11"/>
      <c r="E39" s="11"/>
      <c r="J39" s="3"/>
      <c r="K39" s="1"/>
      <c r="L39" s="3"/>
      <c r="N39" s="1"/>
      <c r="Q39" s="1"/>
      <c r="T39" s="1"/>
    </row>
    <row r="40" spans="1:20" s="5" customFormat="1">
      <c r="B40" s="4"/>
      <c r="D40" s="11"/>
      <c r="E40" s="11"/>
      <c r="J40" s="3"/>
      <c r="K40" s="1"/>
      <c r="L40" s="3"/>
      <c r="N40" s="1"/>
      <c r="Q40" s="1"/>
      <c r="T40" s="1"/>
    </row>
    <row r="41" spans="1:20" s="5" customFormat="1">
      <c r="B41" s="1"/>
      <c r="C41" s="3"/>
      <c r="D41" s="13"/>
      <c r="E41" s="13"/>
      <c r="J41" s="3"/>
      <c r="K41" s="1"/>
      <c r="L41" s="3"/>
      <c r="N41" s="1"/>
      <c r="Q41" s="1"/>
      <c r="T41" s="1"/>
    </row>
    <row r="42" spans="1:20" s="5" customFormat="1">
      <c r="B42" s="1"/>
      <c r="C42" s="3"/>
      <c r="D42" s="13"/>
      <c r="E42" s="13"/>
      <c r="J42" s="3"/>
      <c r="K42" s="1"/>
      <c r="L42" s="3"/>
      <c r="N42" s="1"/>
      <c r="Q42" s="1"/>
      <c r="T42" s="1"/>
    </row>
    <row r="43" spans="1:20" s="5" customFormat="1">
      <c r="B43" s="1"/>
      <c r="C43" s="3"/>
      <c r="D43" s="13"/>
      <c r="E43" s="13"/>
      <c r="J43" s="3"/>
      <c r="K43" s="1"/>
      <c r="L43" s="3"/>
      <c r="N43" s="1"/>
      <c r="Q43" s="1"/>
      <c r="T43" s="1"/>
    </row>
    <row r="44" spans="1:20" s="5" customFormat="1">
      <c r="B44" s="1"/>
      <c r="C44" s="3"/>
      <c r="D44" s="13"/>
      <c r="E44" s="13"/>
      <c r="J44" s="3"/>
      <c r="K44" s="1"/>
      <c r="L44" s="3"/>
      <c r="N44" s="1"/>
      <c r="Q44" s="1"/>
      <c r="T44" s="1"/>
    </row>
    <row r="45" spans="1:20">
      <c r="B45" s="1"/>
      <c r="K45" s="1"/>
      <c r="N45" s="1"/>
      <c r="Q45" s="1"/>
      <c r="T45" s="1"/>
    </row>
    <row r="46" spans="1:20">
      <c r="B46" s="1"/>
      <c r="K46" s="1"/>
      <c r="N46" s="1"/>
      <c r="Q46" s="1"/>
      <c r="T46" s="1"/>
    </row>
    <row r="47" spans="1:20">
      <c r="B47" s="1"/>
      <c r="K47" s="1"/>
      <c r="N47" s="1"/>
      <c r="Q47" s="1"/>
      <c r="T47" s="1"/>
    </row>
    <row r="48" spans="1:20">
      <c r="B48" s="1"/>
      <c r="K48" s="1"/>
      <c r="N48" s="1"/>
      <c r="Q48" s="1"/>
      <c r="T48" s="1"/>
    </row>
    <row r="49" spans="2:20">
      <c r="B49" s="1"/>
      <c r="K49" s="1"/>
      <c r="N49" s="1"/>
      <c r="Q49" s="1"/>
      <c r="T49" s="1"/>
    </row>
    <row r="50" spans="2:20">
      <c r="B50" s="18"/>
      <c r="K50" s="1"/>
      <c r="N50" s="1"/>
      <c r="Q50" s="1"/>
      <c r="T50" s="1"/>
    </row>
    <row r="51" spans="2:20">
      <c r="B51" s="1"/>
      <c r="J51" s="5"/>
      <c r="K51" s="1"/>
      <c r="L51" s="5"/>
      <c r="N51" s="1"/>
      <c r="Q51" s="1"/>
      <c r="T51" s="1"/>
    </row>
    <row r="52" spans="2:20">
      <c r="B52" s="1"/>
      <c r="J52" s="5"/>
      <c r="K52" s="1"/>
      <c r="L52" s="5"/>
      <c r="N52" s="1"/>
      <c r="Q52" s="1"/>
      <c r="T52" s="1"/>
    </row>
    <row r="53" spans="2:20">
      <c r="B53" s="1"/>
      <c r="J53" s="5"/>
      <c r="K53" s="1"/>
      <c r="L53" s="5"/>
      <c r="N53" s="1"/>
      <c r="Q53" s="1"/>
      <c r="T53" s="1"/>
    </row>
    <row r="54" spans="2:20">
      <c r="B54" s="1"/>
      <c r="J54" s="5"/>
      <c r="K54" s="1"/>
      <c r="L54" s="5"/>
      <c r="N54" s="1"/>
      <c r="Q54" s="1"/>
      <c r="T54" s="1"/>
    </row>
    <row r="55" spans="2:20">
      <c r="B55" s="1"/>
      <c r="K55" s="1"/>
      <c r="N55" s="1"/>
      <c r="Q55" s="1"/>
      <c r="T55" s="1"/>
    </row>
    <row r="56" spans="2:20">
      <c r="B56" s="1"/>
      <c r="K56" s="2"/>
      <c r="N56" s="2"/>
      <c r="Q56" s="2"/>
      <c r="T56" s="2"/>
    </row>
    <row r="57" spans="2:20" s="5" customFormat="1">
      <c r="B57" s="4"/>
      <c r="D57" s="11"/>
      <c r="E57" s="11"/>
      <c r="K57" s="14"/>
      <c r="N57" s="14"/>
      <c r="Q57" s="14"/>
      <c r="T57" s="14"/>
    </row>
    <row r="58" spans="2:20" s="5" customFormat="1">
      <c r="B58" s="4"/>
      <c r="D58" s="11"/>
      <c r="E58" s="11"/>
      <c r="J58" s="3"/>
      <c r="K58" s="2"/>
      <c r="L58" s="3"/>
      <c r="N58" s="2"/>
      <c r="Q58" s="2"/>
      <c r="T58" s="2"/>
    </row>
    <row r="59" spans="2:20" s="5" customFormat="1">
      <c r="B59" s="1"/>
      <c r="C59" s="3"/>
      <c r="D59" s="13"/>
      <c r="E59" s="13"/>
      <c r="K59" s="4"/>
      <c r="N59" s="4"/>
      <c r="Q59" s="4"/>
      <c r="T59" s="4"/>
    </row>
    <row r="60" spans="2:20" s="5" customFormat="1">
      <c r="B60" s="1"/>
      <c r="C60" s="3"/>
      <c r="D60" s="13"/>
      <c r="E60" s="13"/>
      <c r="K60" s="4"/>
      <c r="N60" s="4"/>
      <c r="Q60" s="4"/>
      <c r="T60" s="4"/>
    </row>
    <row r="61" spans="2:20">
      <c r="B61" s="1"/>
      <c r="J61" s="5"/>
      <c r="K61" s="4"/>
      <c r="L61" s="5"/>
      <c r="N61" s="4"/>
      <c r="Q61" s="4"/>
      <c r="T61" s="4"/>
    </row>
    <row r="62" spans="2:20">
      <c r="B62" s="1"/>
      <c r="J62" s="5"/>
      <c r="K62" s="1"/>
      <c r="L62" s="5"/>
      <c r="N62" s="1"/>
      <c r="Q62" s="1"/>
      <c r="T62" s="1"/>
    </row>
    <row r="63" spans="2:20">
      <c r="B63" s="1"/>
      <c r="J63" s="5"/>
      <c r="K63" s="1"/>
      <c r="L63" s="5"/>
      <c r="N63" s="1"/>
      <c r="Q63" s="1"/>
      <c r="T63" s="1"/>
    </row>
    <row r="64" spans="2:20">
      <c r="B64" s="1"/>
      <c r="K64" s="1"/>
      <c r="N64" s="1"/>
      <c r="Q64" s="1"/>
      <c r="T64" s="1"/>
    </row>
    <row r="65" spans="2:20">
      <c r="B65" s="1"/>
      <c r="K65" s="1"/>
      <c r="N65" s="1"/>
      <c r="Q65" s="1"/>
      <c r="T65" s="1"/>
    </row>
    <row r="66" spans="2:20">
      <c r="B66" s="1"/>
      <c r="K66" s="1"/>
      <c r="N66" s="1"/>
      <c r="Q66" s="1"/>
      <c r="T66" s="1"/>
    </row>
    <row r="67" spans="2:20">
      <c r="B67" s="1"/>
      <c r="K67" s="1"/>
      <c r="N67" s="1"/>
      <c r="Q67" s="1"/>
      <c r="T67" s="1"/>
    </row>
    <row r="68" spans="2:20">
      <c r="B68" s="1"/>
      <c r="K68" s="1"/>
      <c r="N68" s="1"/>
      <c r="Q68" s="1"/>
      <c r="T68" s="1"/>
    </row>
    <row r="69" spans="2:20">
      <c r="B69" s="1"/>
      <c r="K69" s="1"/>
      <c r="N69" s="1"/>
      <c r="Q69" s="1"/>
      <c r="T69" s="1"/>
    </row>
    <row r="70" spans="2:20">
      <c r="B70" s="1"/>
      <c r="K70" s="1"/>
      <c r="N70" s="1"/>
      <c r="Q70" s="1"/>
      <c r="T70" s="1"/>
    </row>
    <row r="71" spans="2:20">
      <c r="B71" s="1"/>
      <c r="K71" s="1"/>
      <c r="N71" s="1"/>
      <c r="Q71" s="1"/>
      <c r="T71" s="1"/>
    </row>
    <row r="72" spans="2:20">
      <c r="K72" s="1"/>
      <c r="N72" s="1"/>
      <c r="Q72" s="1"/>
      <c r="T72" s="1"/>
    </row>
    <row r="73" spans="2:20">
      <c r="K73" s="1"/>
      <c r="N73" s="1"/>
      <c r="Q73" s="1"/>
      <c r="T73" s="1"/>
    </row>
    <row r="74" spans="2:20">
      <c r="K74" s="1"/>
      <c r="N74" s="1"/>
      <c r="Q74" s="1"/>
      <c r="T74" s="1"/>
    </row>
  </sheetData>
  <pageMargins left="0.7" right="0.7" top="0.75" bottom="0.75" header="0.3" footer="0.3"/>
  <pageSetup orientation="portrait" horizontalDpi="203" verticalDpi="203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2ED1-2FF9-4E7F-A6B1-C0E28BEEF437}">
  <dimension ref="A1:Z87"/>
  <sheetViews>
    <sheetView workbookViewId="0">
      <pane ySplit="2" topLeftCell="A56" activePane="bottomLeft" state="frozen"/>
      <selection pane="bottomLeft" activeCell="C56" sqref="C56"/>
      <selection activeCell="C1" sqref="C1"/>
    </sheetView>
  </sheetViews>
  <sheetFormatPr defaultColWidth="8.85546875" defaultRowHeight="15.95"/>
  <cols>
    <col min="1" max="1" width="12.7109375" style="3" customWidth="1"/>
    <col min="2" max="2" width="8.85546875" style="3"/>
    <col min="3" max="3" width="27" style="3" customWidth="1"/>
    <col min="4" max="4" width="2.7109375" style="3" customWidth="1"/>
    <col min="5" max="5" width="20.7109375" style="13" customWidth="1"/>
    <col min="6" max="6" width="1.85546875" style="13" customWidth="1"/>
    <col min="7" max="7" width="20" style="13" customWidth="1"/>
    <col min="8" max="8" width="2.7109375" style="3" customWidth="1"/>
    <col min="9" max="9" width="12.5703125" style="3" customWidth="1"/>
    <col min="10" max="10" width="2.42578125" style="3" customWidth="1"/>
    <col min="11" max="11" width="13.7109375" style="3" customWidth="1"/>
    <col min="12" max="12" width="2.42578125" style="3" customWidth="1"/>
    <col min="13" max="13" width="8.85546875" style="3"/>
    <col min="14" max="14" width="13.7109375" style="3" customWidth="1"/>
    <col min="15" max="15" width="2.7109375" style="3" customWidth="1"/>
    <col min="16" max="16" width="8.85546875" style="3"/>
    <col min="17" max="17" width="13.7109375" style="3" customWidth="1"/>
    <col min="18" max="18" width="2.7109375" style="3" customWidth="1"/>
    <col min="19" max="19" width="8.85546875" style="3"/>
    <col min="20" max="20" width="11.42578125" style="3" customWidth="1"/>
    <col min="21" max="21" width="2.140625" style="3" customWidth="1"/>
    <col min="22" max="22" width="8.85546875" style="3"/>
    <col min="23" max="23" width="11.42578125" style="3" customWidth="1"/>
    <col min="24" max="24" width="32.5703125" style="3" customWidth="1"/>
    <col min="25" max="25" width="21.42578125" style="3" customWidth="1"/>
    <col min="26" max="16384" width="8.85546875" style="3"/>
  </cols>
  <sheetData>
    <row r="1" spans="1:26" s="5" customFormat="1">
      <c r="A1" s="4" t="s">
        <v>560</v>
      </c>
      <c r="E1" s="11"/>
      <c r="F1" s="11"/>
      <c r="G1" s="11"/>
      <c r="M1" s="4"/>
      <c r="P1" s="4"/>
      <c r="S1" s="4"/>
      <c r="V1" s="4"/>
    </row>
    <row r="2" spans="1:26" s="5" customFormat="1" ht="47.65">
      <c r="B2" s="4"/>
      <c r="C2" s="5" t="s">
        <v>1197</v>
      </c>
      <c r="E2" s="12" t="s">
        <v>67</v>
      </c>
      <c r="F2" s="12"/>
      <c r="G2" s="12" t="s">
        <v>68</v>
      </c>
      <c r="H2" s="6"/>
      <c r="I2" s="6" t="s">
        <v>5</v>
      </c>
      <c r="J2" s="6"/>
      <c r="K2" s="7" t="s">
        <v>591</v>
      </c>
      <c r="L2" s="6"/>
      <c r="M2" s="17"/>
      <c r="N2" s="7" t="s">
        <v>193</v>
      </c>
      <c r="P2" s="17"/>
      <c r="Q2" s="7" t="s">
        <v>69</v>
      </c>
      <c r="S2" s="17"/>
      <c r="T2" s="7" t="s">
        <v>70</v>
      </c>
      <c r="V2" s="17"/>
      <c r="W2" s="7" t="s">
        <v>71</v>
      </c>
      <c r="X2" s="6" t="s">
        <v>72</v>
      </c>
      <c r="Y2" s="5" t="s">
        <v>592</v>
      </c>
      <c r="Z2" s="5" t="s">
        <v>593</v>
      </c>
    </row>
    <row r="3" spans="1:26" s="5" customFormat="1">
      <c r="A3" s="4" t="s">
        <v>73</v>
      </c>
      <c r="E3" s="11"/>
      <c r="F3" s="11"/>
      <c r="G3" s="11"/>
    </row>
    <row r="4" spans="1:26">
      <c r="B4" s="1"/>
      <c r="M4" s="1"/>
      <c r="P4" s="1"/>
      <c r="S4" s="1"/>
      <c r="V4" s="1"/>
    </row>
    <row r="5" spans="1:26">
      <c r="A5" s="20"/>
      <c r="B5" s="20"/>
      <c r="C5" s="20" t="s">
        <v>594</v>
      </c>
      <c r="D5" s="20"/>
      <c r="M5" s="1"/>
      <c r="P5" s="1"/>
      <c r="S5" s="1"/>
      <c r="V5" s="1"/>
    </row>
    <row r="6" spans="1:26">
      <c r="A6" s="20"/>
      <c r="B6" s="20"/>
      <c r="C6" s="20" t="s">
        <v>562</v>
      </c>
      <c r="D6" s="20"/>
      <c r="M6" s="8" t="b">
        <v>0</v>
      </c>
      <c r="P6" s="8" t="b">
        <v>0</v>
      </c>
      <c r="S6" s="8" t="b">
        <v>0</v>
      </c>
      <c r="V6" s="8" t="b">
        <v>0</v>
      </c>
    </row>
    <row r="7" spans="1:26">
      <c r="A7" s="20"/>
      <c r="B7" s="20"/>
      <c r="C7" s="20"/>
      <c r="D7" s="20"/>
      <c r="M7" s="8" t="b">
        <v>0</v>
      </c>
      <c r="N7" s="10"/>
      <c r="P7" s="8" t="b">
        <v>0</v>
      </c>
      <c r="Q7" s="10"/>
      <c r="S7" s="8" t="b">
        <v>0</v>
      </c>
      <c r="V7" s="8" t="b">
        <v>0</v>
      </c>
    </row>
    <row r="8" spans="1:26">
      <c r="A8" s="20"/>
      <c r="B8" s="20"/>
      <c r="C8" s="20"/>
      <c r="D8" s="20"/>
      <c r="M8" s="8" t="b">
        <v>0</v>
      </c>
      <c r="P8" s="8" t="b">
        <v>0</v>
      </c>
      <c r="S8" s="8" t="b">
        <v>0</v>
      </c>
      <c r="V8" s="8" t="b">
        <v>0</v>
      </c>
    </row>
    <row r="9" spans="1:26">
      <c r="A9" s="20"/>
      <c r="B9" s="20"/>
      <c r="C9" s="20"/>
      <c r="D9" s="20"/>
      <c r="M9" s="8" t="b">
        <v>0</v>
      </c>
      <c r="P9" s="8" t="b">
        <v>0</v>
      </c>
      <c r="S9" s="8" t="b">
        <v>0</v>
      </c>
      <c r="V9" s="8" t="b">
        <v>0</v>
      </c>
    </row>
    <row r="10" spans="1:26">
      <c r="A10" s="20"/>
      <c r="B10" s="20"/>
      <c r="C10" s="20"/>
      <c r="D10" s="20"/>
      <c r="G10" s="13" t="s">
        <v>1046</v>
      </c>
      <c r="M10" s="8" t="b">
        <v>0</v>
      </c>
      <c r="P10" s="8" t="b">
        <v>0</v>
      </c>
      <c r="Q10" s="10"/>
      <c r="S10" s="8" t="b">
        <v>0</v>
      </c>
      <c r="V10" s="8" t="b">
        <v>0</v>
      </c>
    </row>
    <row r="11" spans="1:26">
      <c r="A11" s="20" t="s">
        <v>563</v>
      </c>
      <c r="B11" s="20"/>
      <c r="C11" s="31" t="s">
        <v>82</v>
      </c>
      <c r="D11" s="20"/>
      <c r="E11" s="13">
        <v>1500</v>
      </c>
      <c r="G11" s="13">
        <v>2103.6799999999998</v>
      </c>
      <c r="I11" s="3" t="s">
        <v>89</v>
      </c>
      <c r="M11" s="8" t="b">
        <v>0</v>
      </c>
      <c r="N11" s="10"/>
      <c r="P11" s="8" t="b">
        <v>0</v>
      </c>
      <c r="Q11" s="10"/>
      <c r="S11" s="8" t="b">
        <v>0</v>
      </c>
      <c r="T11" s="10"/>
      <c r="V11" s="8" t="b">
        <v>0</v>
      </c>
    </row>
    <row r="12" spans="1:26">
      <c r="A12" s="20"/>
      <c r="B12" s="20"/>
      <c r="C12" s="20" t="s">
        <v>206</v>
      </c>
      <c r="D12" s="20"/>
      <c r="I12" s="3" t="s">
        <v>89</v>
      </c>
      <c r="M12" s="8" t="b">
        <v>0</v>
      </c>
      <c r="N12" s="10">
        <v>45778</v>
      </c>
      <c r="P12" s="8" t="b">
        <v>1</v>
      </c>
      <c r="Q12" s="10">
        <v>45778</v>
      </c>
      <c r="S12" s="8" t="b">
        <v>1</v>
      </c>
      <c r="T12" s="10"/>
      <c r="V12" s="8" t="b">
        <v>0</v>
      </c>
    </row>
    <row r="13" spans="1:26">
      <c r="A13" s="20"/>
      <c r="B13" s="20"/>
      <c r="C13" s="20" t="s">
        <v>28</v>
      </c>
      <c r="D13" s="20"/>
      <c r="I13" s="3" t="s">
        <v>89</v>
      </c>
      <c r="M13" s="8" t="b">
        <v>0</v>
      </c>
      <c r="N13" s="10">
        <v>45778</v>
      </c>
      <c r="P13" s="8" t="b">
        <v>1</v>
      </c>
      <c r="Q13" s="10">
        <v>45778</v>
      </c>
      <c r="S13" s="8" t="b">
        <v>1</v>
      </c>
      <c r="T13" s="10"/>
      <c r="V13" s="8" t="b">
        <v>0</v>
      </c>
    </row>
    <row r="14" spans="1:26">
      <c r="A14" s="20"/>
      <c r="B14" s="20"/>
      <c r="C14" s="20" t="s">
        <v>1198</v>
      </c>
      <c r="D14" s="20"/>
      <c r="I14" s="3" t="s">
        <v>89</v>
      </c>
      <c r="M14" s="8" t="b">
        <v>0</v>
      </c>
      <c r="N14" s="10">
        <v>45778</v>
      </c>
      <c r="P14" s="8" t="b">
        <v>1</v>
      </c>
      <c r="Q14" s="10">
        <v>45778</v>
      </c>
      <c r="S14" s="8" t="b">
        <v>1</v>
      </c>
      <c r="T14" s="10"/>
      <c r="V14" s="8" t="b">
        <v>0</v>
      </c>
    </row>
    <row r="15" spans="1:26">
      <c r="A15" s="20"/>
      <c r="B15" s="20"/>
      <c r="C15" s="20" t="s">
        <v>223</v>
      </c>
      <c r="D15" s="20"/>
      <c r="I15" s="3" t="s">
        <v>89</v>
      </c>
      <c r="M15" s="8" t="b">
        <v>0</v>
      </c>
      <c r="N15" s="10">
        <v>45778</v>
      </c>
      <c r="P15" s="8" t="b">
        <v>1</v>
      </c>
      <c r="Q15" s="10">
        <v>45778</v>
      </c>
      <c r="S15" s="8" t="b">
        <v>1</v>
      </c>
      <c r="T15" s="10"/>
      <c r="V15" s="8" t="b">
        <v>0</v>
      </c>
    </row>
    <row r="16" spans="1:26">
      <c r="A16" s="20"/>
      <c r="B16" s="20"/>
      <c r="C16" s="20" t="s">
        <v>1199</v>
      </c>
      <c r="D16" s="20"/>
      <c r="I16" s="3" t="s">
        <v>89</v>
      </c>
      <c r="M16" s="8" t="b">
        <v>0</v>
      </c>
      <c r="N16" s="10">
        <v>45778</v>
      </c>
      <c r="P16" s="8" t="b">
        <v>1</v>
      </c>
      <c r="Q16" s="10">
        <v>45778</v>
      </c>
      <c r="S16" s="8" t="b">
        <v>1</v>
      </c>
      <c r="T16" s="10"/>
      <c r="V16" s="8" t="b">
        <v>0</v>
      </c>
    </row>
    <row r="17" spans="1:22">
      <c r="A17" s="20"/>
      <c r="B17" s="20"/>
      <c r="C17" s="20" t="s">
        <v>566</v>
      </c>
      <c r="D17" s="20"/>
      <c r="I17" s="3" t="s">
        <v>89</v>
      </c>
      <c r="M17" s="8" t="b">
        <v>0</v>
      </c>
      <c r="N17" s="10">
        <v>45778</v>
      </c>
      <c r="P17" s="8" t="b">
        <v>1</v>
      </c>
      <c r="Q17" s="10">
        <v>45778</v>
      </c>
      <c r="S17" s="8" t="b">
        <v>1</v>
      </c>
      <c r="T17" s="10"/>
      <c r="V17" s="8" t="b">
        <v>0</v>
      </c>
    </row>
    <row r="18" spans="1:22">
      <c r="A18" s="20"/>
      <c r="B18" s="20"/>
      <c r="C18" s="20" t="s">
        <v>567</v>
      </c>
      <c r="D18" s="20"/>
      <c r="I18" s="3" t="s">
        <v>89</v>
      </c>
      <c r="M18" s="8" t="b">
        <v>0</v>
      </c>
      <c r="N18" s="10">
        <v>45778</v>
      </c>
      <c r="P18" s="8" t="b">
        <v>1</v>
      </c>
      <c r="Q18" s="10">
        <v>45778</v>
      </c>
      <c r="S18" s="8" t="b">
        <v>1</v>
      </c>
      <c r="T18" s="10"/>
      <c r="V18" s="8" t="b">
        <v>0</v>
      </c>
    </row>
    <row r="19" spans="1:22">
      <c r="A19" s="20"/>
      <c r="B19" s="20"/>
      <c r="C19" s="20" t="s">
        <v>568</v>
      </c>
      <c r="D19" s="20"/>
      <c r="I19" s="3" t="s">
        <v>89</v>
      </c>
      <c r="M19" s="8" t="b">
        <v>0</v>
      </c>
      <c r="N19" s="10">
        <v>45778</v>
      </c>
      <c r="P19" s="8" t="b">
        <v>1</v>
      </c>
      <c r="Q19" s="10">
        <v>45778</v>
      </c>
      <c r="S19" s="8" t="b">
        <v>1</v>
      </c>
      <c r="T19" s="10"/>
      <c r="V19" s="8" t="b">
        <v>0</v>
      </c>
    </row>
    <row r="20" spans="1:22">
      <c r="A20" s="20"/>
      <c r="B20" s="20"/>
      <c r="C20" s="20" t="s">
        <v>569</v>
      </c>
      <c r="D20" s="20"/>
      <c r="I20" s="3" t="s">
        <v>89</v>
      </c>
      <c r="M20" s="8" t="b">
        <v>0</v>
      </c>
      <c r="N20" s="10">
        <v>45778</v>
      </c>
      <c r="P20" s="8" t="b">
        <v>1</v>
      </c>
      <c r="Q20" s="10">
        <v>45778</v>
      </c>
      <c r="S20" s="8" t="b">
        <v>1</v>
      </c>
      <c r="T20" s="10"/>
      <c r="V20" s="8" t="b">
        <v>0</v>
      </c>
    </row>
    <row r="21" spans="1:22">
      <c r="A21" s="20"/>
      <c r="B21" s="20"/>
      <c r="C21" s="20" t="s">
        <v>525</v>
      </c>
      <c r="D21" s="20"/>
      <c r="I21" s="3" t="s">
        <v>89</v>
      </c>
      <c r="M21" s="8" t="b">
        <v>0</v>
      </c>
      <c r="N21" s="10">
        <v>45778</v>
      </c>
      <c r="P21" s="8" t="b">
        <v>1</v>
      </c>
      <c r="Q21" s="10">
        <v>45778</v>
      </c>
      <c r="S21" s="8" t="b">
        <v>1</v>
      </c>
      <c r="T21" s="10"/>
      <c r="V21" s="8" t="b">
        <v>0</v>
      </c>
    </row>
    <row r="22" spans="1:22">
      <c r="A22" s="20"/>
      <c r="B22" s="20"/>
      <c r="C22" s="20" t="s">
        <v>810</v>
      </c>
      <c r="D22" s="20"/>
      <c r="I22" s="3" t="s">
        <v>89</v>
      </c>
      <c r="M22" s="8" t="b">
        <v>0</v>
      </c>
      <c r="N22" s="10">
        <v>45778</v>
      </c>
      <c r="P22" s="8" t="b">
        <v>1</v>
      </c>
      <c r="Q22" s="10">
        <v>45778</v>
      </c>
      <c r="S22" s="8" t="b">
        <v>1</v>
      </c>
      <c r="T22" s="10"/>
      <c r="V22" s="8" t="b">
        <v>0</v>
      </c>
    </row>
    <row r="23" spans="1:22">
      <c r="A23" s="20"/>
      <c r="B23" s="20"/>
      <c r="C23" s="20"/>
      <c r="D23" s="20"/>
      <c r="K23" s="10"/>
      <c r="M23" s="1"/>
      <c r="N23" s="10"/>
      <c r="P23" s="1"/>
      <c r="Q23" s="10"/>
      <c r="S23" s="8" t="b">
        <v>0</v>
      </c>
      <c r="T23" s="10"/>
      <c r="V23" s="8" t="b">
        <v>0</v>
      </c>
    </row>
    <row r="24" spans="1:22">
      <c r="A24" s="20"/>
      <c r="B24" s="20"/>
      <c r="C24" s="20" t="s">
        <v>87</v>
      </c>
      <c r="D24" s="20"/>
      <c r="I24" s="3" t="s">
        <v>8</v>
      </c>
      <c r="K24" s="10"/>
      <c r="M24" s="8" t="b">
        <v>1</v>
      </c>
      <c r="N24" s="10"/>
      <c r="P24" s="8" t="b">
        <v>1</v>
      </c>
      <c r="Q24" s="10">
        <v>45788</v>
      </c>
      <c r="S24" s="8" t="b">
        <v>1</v>
      </c>
      <c r="T24" s="10"/>
      <c r="V24" s="8" t="b">
        <v>0</v>
      </c>
    </row>
    <row r="25" spans="1:22">
      <c r="A25" s="20"/>
      <c r="B25" s="20"/>
      <c r="C25" s="20" t="s">
        <v>1200</v>
      </c>
      <c r="D25" s="20"/>
      <c r="G25" s="13">
        <v>98.22</v>
      </c>
      <c r="I25" s="3" t="s">
        <v>8</v>
      </c>
      <c r="K25" s="10"/>
      <c r="M25" s="8" t="b">
        <v>1</v>
      </c>
      <c r="N25" s="10"/>
      <c r="P25" s="8" t="b">
        <v>1</v>
      </c>
      <c r="Q25" s="10">
        <v>45788</v>
      </c>
      <c r="S25" s="8" t="b">
        <v>1</v>
      </c>
      <c r="T25" s="10"/>
      <c r="V25" s="8" t="b">
        <v>0</v>
      </c>
    </row>
    <row r="26" spans="1:22">
      <c r="A26" s="20"/>
      <c r="B26" s="20"/>
      <c r="C26" s="20" t="s">
        <v>92</v>
      </c>
      <c r="D26" s="20"/>
      <c r="G26" s="13">
        <v>247.66</v>
      </c>
      <c r="I26" s="3" t="s">
        <v>8</v>
      </c>
      <c r="K26" s="10">
        <v>45789</v>
      </c>
      <c r="M26" s="8" t="b">
        <v>1</v>
      </c>
      <c r="N26" s="10">
        <v>45789</v>
      </c>
      <c r="P26" s="8" t="b">
        <v>1</v>
      </c>
      <c r="Q26" s="10">
        <v>45790</v>
      </c>
      <c r="S26" s="8" t="b">
        <v>1</v>
      </c>
      <c r="T26" s="10"/>
      <c r="V26" s="8" t="b">
        <v>0</v>
      </c>
    </row>
    <row r="27" spans="1:22">
      <c r="A27" s="20"/>
      <c r="B27" s="20"/>
      <c r="C27" s="20" t="s">
        <v>1058</v>
      </c>
      <c r="D27" s="20"/>
      <c r="I27" s="3" t="s">
        <v>8</v>
      </c>
      <c r="K27" s="10"/>
      <c r="M27" s="8" t="b">
        <v>1</v>
      </c>
      <c r="N27" s="10"/>
      <c r="P27" s="8" t="b">
        <v>1</v>
      </c>
      <c r="Q27" s="10">
        <v>45787</v>
      </c>
      <c r="S27" s="8" t="b">
        <v>1</v>
      </c>
      <c r="T27" s="10"/>
      <c r="V27" s="8" t="b">
        <v>0</v>
      </c>
    </row>
    <row r="28" spans="1:22">
      <c r="A28" s="20"/>
      <c r="B28" s="20"/>
      <c r="C28" s="20" t="s">
        <v>270</v>
      </c>
      <c r="D28" s="20"/>
      <c r="E28" s="13">
        <v>1200</v>
      </c>
      <c r="G28" s="13">
        <v>690.66</v>
      </c>
      <c r="I28" s="3" t="s">
        <v>8</v>
      </c>
      <c r="K28" s="10"/>
      <c r="M28" s="8" t="b">
        <v>1</v>
      </c>
      <c r="N28" s="10"/>
      <c r="P28" s="8" t="b">
        <v>1</v>
      </c>
      <c r="Q28" s="10">
        <v>45787</v>
      </c>
      <c r="S28" s="8" t="b">
        <v>1</v>
      </c>
      <c r="T28" s="10"/>
      <c r="V28" s="8" t="b">
        <v>0</v>
      </c>
    </row>
    <row r="29" spans="1:22">
      <c r="A29" s="20"/>
      <c r="B29" s="20"/>
      <c r="C29" s="20"/>
      <c r="D29" s="20"/>
      <c r="K29" s="10"/>
      <c r="M29" s="8" t="b">
        <v>0</v>
      </c>
      <c r="N29" s="10"/>
      <c r="P29" s="8" t="b">
        <v>0</v>
      </c>
      <c r="Q29" s="10"/>
      <c r="S29" s="8" t="b">
        <v>0</v>
      </c>
      <c r="T29" s="10"/>
      <c r="V29" s="8" t="b">
        <v>0</v>
      </c>
    </row>
    <row r="30" spans="1:22">
      <c r="A30" s="20"/>
      <c r="B30" s="20"/>
      <c r="C30" s="20"/>
      <c r="D30" s="20"/>
      <c r="K30" s="10"/>
      <c r="Q30" s="10"/>
      <c r="S30" s="1"/>
      <c r="V30" s="1"/>
    </row>
    <row r="31" spans="1:22">
      <c r="A31" s="20" t="s">
        <v>324</v>
      </c>
      <c r="B31" s="20"/>
      <c r="C31" s="20" t="s">
        <v>94</v>
      </c>
      <c r="D31" s="20"/>
      <c r="E31" s="13">
        <v>600</v>
      </c>
      <c r="I31" s="3" t="s">
        <v>89</v>
      </c>
      <c r="M31" s="8" t="b">
        <v>1</v>
      </c>
      <c r="N31" s="10"/>
      <c r="P31" s="8" t="b">
        <v>1</v>
      </c>
      <c r="Q31" s="10"/>
      <c r="S31" s="8" t="b">
        <v>1</v>
      </c>
      <c r="V31" s="8" t="b">
        <v>0</v>
      </c>
    </row>
    <row r="32" spans="1:22">
      <c r="A32" s="20"/>
      <c r="B32" s="20"/>
      <c r="C32" s="20" t="s">
        <v>325</v>
      </c>
      <c r="D32" s="20"/>
      <c r="I32" s="3" t="s">
        <v>89</v>
      </c>
      <c r="M32" s="8" t="b">
        <v>1</v>
      </c>
      <c r="N32" s="10"/>
      <c r="P32" s="8" t="b">
        <v>1</v>
      </c>
      <c r="Q32" s="10"/>
      <c r="S32" s="8" t="b">
        <v>1</v>
      </c>
    </row>
    <row r="33" spans="1:22">
      <c r="A33" s="20"/>
      <c r="B33" s="20"/>
      <c r="C33" s="20" t="s">
        <v>1201</v>
      </c>
      <c r="D33" s="20"/>
      <c r="I33" s="3" t="s">
        <v>8</v>
      </c>
      <c r="M33" s="8" t="b">
        <v>1</v>
      </c>
      <c r="N33" s="10"/>
      <c r="P33" s="8" t="b">
        <v>1</v>
      </c>
      <c r="Q33" s="10">
        <v>45788</v>
      </c>
      <c r="S33" s="8" t="b">
        <v>1</v>
      </c>
      <c r="V33" s="18"/>
    </row>
    <row r="34" spans="1:22">
      <c r="A34" s="20"/>
      <c r="B34" s="20"/>
      <c r="C34" s="31" t="s">
        <v>1051</v>
      </c>
      <c r="D34" s="20"/>
      <c r="I34" s="3" t="s">
        <v>8</v>
      </c>
      <c r="M34" s="8" t="b">
        <v>0</v>
      </c>
      <c r="N34" s="10"/>
      <c r="P34" s="8" t="b">
        <v>0</v>
      </c>
      <c r="Q34" s="10"/>
      <c r="S34" s="8" t="b">
        <v>0</v>
      </c>
      <c r="V34" s="18"/>
    </row>
    <row r="35" spans="1:22">
      <c r="A35" s="20"/>
      <c r="B35" s="20"/>
      <c r="C35" s="20"/>
      <c r="D35" s="20"/>
      <c r="M35" s="18"/>
      <c r="P35" s="18"/>
      <c r="S35" s="18"/>
      <c r="V35" s="18"/>
    </row>
    <row r="36" spans="1:22">
      <c r="A36" s="20" t="s">
        <v>407</v>
      </c>
      <c r="B36" s="20"/>
      <c r="C36" s="20" t="s">
        <v>262</v>
      </c>
      <c r="D36" s="20"/>
      <c r="E36" s="13">
        <v>3000</v>
      </c>
      <c r="G36" s="13">
        <v>1276</v>
      </c>
      <c r="I36" s="3" t="s">
        <v>138</v>
      </c>
      <c r="M36" s="8" t="b">
        <v>1</v>
      </c>
      <c r="N36" s="10">
        <v>45775</v>
      </c>
      <c r="P36" s="8" t="b">
        <v>1</v>
      </c>
      <c r="Q36" s="10">
        <v>45412</v>
      </c>
      <c r="S36" s="8" t="b">
        <v>1</v>
      </c>
      <c r="V36" s="8" t="b">
        <v>0</v>
      </c>
    </row>
    <row r="37" spans="1:22">
      <c r="B37" s="20"/>
      <c r="C37" s="20" t="s">
        <v>1202</v>
      </c>
      <c r="D37" s="21"/>
      <c r="I37" s="3" t="s">
        <v>8</v>
      </c>
      <c r="M37" s="1"/>
      <c r="N37" s="10">
        <v>45790</v>
      </c>
      <c r="P37" s="8" t="b">
        <v>1</v>
      </c>
      <c r="Q37" s="10">
        <v>45790</v>
      </c>
      <c r="S37" s="8" t="b">
        <v>1</v>
      </c>
      <c r="V37" s="1"/>
    </row>
    <row r="38" spans="1:22">
      <c r="A38" s="20"/>
      <c r="B38" s="20"/>
      <c r="C38" s="20"/>
      <c r="D38" s="20"/>
      <c r="M38" s="1"/>
      <c r="N38" s="10"/>
      <c r="P38" s="1"/>
      <c r="S38" s="1"/>
      <c r="V38" s="1"/>
    </row>
    <row r="39" spans="1:22">
      <c r="A39" s="20" t="s">
        <v>411</v>
      </c>
      <c r="B39" s="20"/>
      <c r="C39" s="20" t="s">
        <v>578</v>
      </c>
      <c r="D39" s="20"/>
      <c r="G39" s="13">
        <v>935</v>
      </c>
      <c r="I39" s="3" t="s">
        <v>1056</v>
      </c>
      <c r="M39" s="8" t="b">
        <v>1</v>
      </c>
      <c r="N39" s="10">
        <v>45789</v>
      </c>
      <c r="P39" s="8" t="b">
        <v>1</v>
      </c>
      <c r="Q39" s="10">
        <v>45790</v>
      </c>
      <c r="S39" s="8" t="b">
        <v>1</v>
      </c>
      <c r="V39" s="8" t="b">
        <v>0</v>
      </c>
    </row>
    <row r="40" spans="1:22">
      <c r="A40" s="20"/>
      <c r="B40" s="20"/>
      <c r="C40" s="20"/>
      <c r="D40" s="20"/>
      <c r="M40" s="1"/>
      <c r="N40" s="10"/>
      <c r="P40" s="1"/>
      <c r="S40" s="1"/>
      <c r="V40" s="1"/>
    </row>
    <row r="41" spans="1:22">
      <c r="A41" s="20" t="s">
        <v>1203</v>
      </c>
      <c r="B41" s="20"/>
      <c r="C41" s="3" t="s">
        <v>1204</v>
      </c>
      <c r="D41" s="20"/>
      <c r="E41" s="13">
        <v>1800</v>
      </c>
      <c r="G41" s="13">
        <f>1161+150</f>
        <v>1311</v>
      </c>
      <c r="M41" s="8" t="b">
        <v>0</v>
      </c>
      <c r="N41" s="10"/>
      <c r="P41" s="8" t="b">
        <v>1</v>
      </c>
      <c r="Q41" s="10">
        <v>45777</v>
      </c>
      <c r="S41" s="8" t="b">
        <v>1</v>
      </c>
      <c r="V41" s="8" t="b">
        <v>0</v>
      </c>
    </row>
    <row r="42" spans="1:22">
      <c r="A42" s="20"/>
      <c r="B42" s="20"/>
      <c r="C42" s="3" t="s">
        <v>1205</v>
      </c>
      <c r="D42" s="20"/>
      <c r="M42" s="8" t="b">
        <v>0</v>
      </c>
      <c r="N42" s="10"/>
      <c r="P42" s="8" t="b">
        <v>1</v>
      </c>
      <c r="Q42" s="10">
        <v>45777</v>
      </c>
      <c r="S42" s="8" t="b">
        <v>1</v>
      </c>
      <c r="V42" s="8" t="b">
        <v>0</v>
      </c>
    </row>
    <row r="43" spans="1:22">
      <c r="A43" s="20"/>
      <c r="B43" s="20"/>
      <c r="C43" s="20"/>
      <c r="D43" s="20"/>
      <c r="M43" s="8" t="b">
        <v>0</v>
      </c>
      <c r="N43" s="10"/>
      <c r="P43" s="8" t="b">
        <v>0</v>
      </c>
      <c r="S43" s="8" t="b">
        <v>0</v>
      </c>
      <c r="V43" s="8" t="b">
        <v>0</v>
      </c>
    </row>
    <row r="44" spans="1:22">
      <c r="A44" s="20" t="s">
        <v>660</v>
      </c>
      <c r="B44" s="20"/>
      <c r="C44" s="20" t="s">
        <v>1042</v>
      </c>
      <c r="D44" s="20"/>
      <c r="E44" s="13">
        <v>200</v>
      </c>
      <c r="I44" s="3" t="s">
        <v>659</v>
      </c>
      <c r="M44" s="8" t="b">
        <v>0</v>
      </c>
      <c r="N44" s="10"/>
      <c r="P44" s="8" t="b">
        <v>1</v>
      </c>
      <c r="Q44" s="10">
        <v>45787</v>
      </c>
      <c r="S44" s="8" t="b">
        <v>1</v>
      </c>
      <c r="V44" s="8" t="b">
        <v>0</v>
      </c>
    </row>
    <row r="45" spans="1:22">
      <c r="A45" s="20"/>
      <c r="B45" s="20"/>
      <c r="C45" s="20"/>
      <c r="D45" s="20"/>
      <c r="M45" s="1"/>
      <c r="N45" s="10"/>
      <c r="P45" s="1"/>
      <c r="S45" s="1"/>
      <c r="V45" s="1"/>
    </row>
    <row r="46" spans="1:22">
      <c r="A46" s="20" t="s">
        <v>1206</v>
      </c>
      <c r="B46" s="20"/>
      <c r="C46" s="20" t="s">
        <v>1207</v>
      </c>
      <c r="D46" s="20"/>
      <c r="G46" s="13">
        <v>125.4</v>
      </c>
      <c r="I46" s="3" t="s">
        <v>138</v>
      </c>
      <c r="K46" s="3" t="s">
        <v>1208</v>
      </c>
      <c r="M46" s="1"/>
      <c r="N46" s="10"/>
      <c r="P46" s="8" t="b">
        <v>1</v>
      </c>
      <c r="Q46" s="10">
        <v>39227</v>
      </c>
      <c r="S46" s="8" t="b">
        <v>0</v>
      </c>
      <c r="V46" s="8" t="b">
        <v>0</v>
      </c>
    </row>
    <row r="47" spans="1:22">
      <c r="A47" s="20"/>
      <c r="B47" s="20"/>
      <c r="C47" s="20" t="s">
        <v>1209</v>
      </c>
      <c r="D47" s="20"/>
      <c r="G47" s="13">
        <v>38.94</v>
      </c>
      <c r="I47" s="3" t="s">
        <v>8</v>
      </c>
      <c r="M47" s="1"/>
      <c r="N47" s="10"/>
      <c r="P47" s="1"/>
      <c r="S47" s="1"/>
      <c r="V47" s="1"/>
    </row>
    <row r="48" spans="1:22">
      <c r="A48" s="20" t="s">
        <v>377</v>
      </c>
      <c r="B48" s="20"/>
      <c r="C48" s="20" t="s">
        <v>1210</v>
      </c>
      <c r="D48" s="20"/>
      <c r="F48" s="26"/>
      <c r="G48" s="26">
        <v>1103.21</v>
      </c>
      <c r="H48" s="22"/>
      <c r="I48" s="22"/>
      <c r="M48" s="18"/>
      <c r="P48" s="18"/>
      <c r="Q48" s="10">
        <v>45796</v>
      </c>
      <c r="S48" s="8" t="b">
        <v>0</v>
      </c>
      <c r="V48" s="8" t="b">
        <v>0</v>
      </c>
    </row>
    <row r="49" spans="1:22">
      <c r="A49" s="20"/>
      <c r="B49" s="20"/>
      <c r="C49" s="20"/>
      <c r="D49" s="20"/>
      <c r="M49" s="18"/>
      <c r="P49" s="18"/>
      <c r="S49" s="18"/>
      <c r="V49" s="18"/>
    </row>
    <row r="50" spans="1:22">
      <c r="A50" s="20"/>
      <c r="B50" s="20"/>
      <c r="C50" s="20"/>
      <c r="D50" s="20"/>
      <c r="M50" s="1"/>
      <c r="N50" s="10"/>
      <c r="P50" s="1"/>
      <c r="S50" s="1"/>
      <c r="V50" s="1"/>
    </row>
    <row r="51" spans="1:22">
      <c r="A51" s="20"/>
      <c r="B51" s="20"/>
      <c r="C51" s="20"/>
      <c r="D51" s="20"/>
      <c r="M51" s="1"/>
      <c r="P51" s="1"/>
      <c r="S51" s="1"/>
      <c r="V51" s="1"/>
    </row>
    <row r="52" spans="1:22" s="5" customFormat="1">
      <c r="B52" s="4"/>
      <c r="E52" s="11">
        <f>SUM(E3:E51)</f>
        <v>8300</v>
      </c>
      <c r="F52" s="11"/>
      <c r="G52" s="11">
        <f>SUM(G2:G51)</f>
        <v>7929.7699999999986</v>
      </c>
      <c r="L52" s="3"/>
      <c r="M52" s="1"/>
      <c r="N52" s="3"/>
      <c r="P52" s="1"/>
      <c r="S52" s="1"/>
      <c r="V52" s="1"/>
    </row>
    <row r="53" spans="1:22" s="5" customFormat="1">
      <c r="B53" s="4"/>
      <c r="E53" s="11"/>
      <c r="F53" s="11"/>
      <c r="G53" s="11"/>
      <c r="L53" s="3"/>
      <c r="M53" s="1"/>
      <c r="N53" s="3"/>
      <c r="P53" s="1"/>
      <c r="S53" s="1"/>
      <c r="V53" s="1"/>
    </row>
    <row r="54" spans="1:22" s="5" customFormat="1">
      <c r="B54" s="1"/>
      <c r="C54" s="3"/>
      <c r="D54" s="3"/>
      <c r="E54" s="11"/>
      <c r="F54" s="11"/>
      <c r="G54" s="11"/>
      <c r="L54" s="3"/>
      <c r="M54" s="1"/>
      <c r="N54" s="3"/>
      <c r="P54" s="1"/>
      <c r="S54" s="1"/>
      <c r="V54" s="1"/>
    </row>
    <row r="55" spans="1:22" s="5" customFormat="1">
      <c r="B55" s="1"/>
      <c r="C55" s="3"/>
      <c r="D55" s="3"/>
      <c r="E55" s="11"/>
      <c r="F55" s="11"/>
      <c r="G55" s="11"/>
      <c r="L55" s="3"/>
      <c r="M55" s="1"/>
      <c r="N55" s="3"/>
      <c r="P55" s="1"/>
      <c r="S55" s="1"/>
      <c r="V55" s="1"/>
    </row>
    <row r="56" spans="1:22" s="5" customFormat="1">
      <c r="B56" s="1"/>
      <c r="C56" s="3"/>
      <c r="D56" s="3"/>
      <c r="E56" s="11"/>
      <c r="F56" s="11"/>
      <c r="G56" s="11"/>
      <c r="L56" s="3"/>
      <c r="M56" s="1"/>
      <c r="N56" s="3"/>
      <c r="P56" s="1"/>
      <c r="S56" s="1"/>
      <c r="V56" s="1"/>
    </row>
    <row r="57" spans="1:22" s="5" customFormat="1">
      <c r="B57" s="1"/>
      <c r="C57" s="3"/>
      <c r="D57" s="3"/>
      <c r="E57" s="11"/>
      <c r="F57" s="11"/>
      <c r="G57" s="11"/>
      <c r="L57" s="3"/>
      <c r="M57" s="1"/>
      <c r="N57" s="3"/>
      <c r="P57" s="1"/>
      <c r="S57" s="1"/>
      <c r="V57" s="1"/>
    </row>
    <row r="58" spans="1:22">
      <c r="B58" s="1"/>
      <c r="M58" s="1"/>
      <c r="P58" s="1"/>
      <c r="S58" s="1"/>
      <c r="V58" s="1"/>
    </row>
    <row r="59" spans="1:22">
      <c r="B59" s="1"/>
      <c r="M59" s="1"/>
      <c r="P59" s="1"/>
      <c r="S59" s="1"/>
      <c r="V59" s="1"/>
    </row>
    <row r="60" spans="1:22">
      <c r="B60" s="1"/>
      <c r="M60" s="1"/>
      <c r="P60" s="1"/>
      <c r="S60" s="1"/>
      <c r="V60" s="1"/>
    </row>
    <row r="61" spans="1:22">
      <c r="B61" s="1"/>
      <c r="M61" s="1"/>
      <c r="P61" s="1"/>
      <c r="S61" s="1"/>
      <c r="V61" s="1"/>
    </row>
    <row r="62" spans="1:22">
      <c r="B62" s="1"/>
      <c r="M62" s="1"/>
      <c r="P62" s="1"/>
      <c r="S62" s="1"/>
      <c r="V62" s="1"/>
    </row>
    <row r="63" spans="1:22">
      <c r="B63" s="18"/>
      <c r="M63" s="1"/>
      <c r="P63" s="1"/>
      <c r="S63" s="1"/>
      <c r="V63" s="1"/>
    </row>
    <row r="64" spans="1:22">
      <c r="B64" s="1"/>
      <c r="L64" s="5"/>
      <c r="M64" s="1"/>
      <c r="N64" s="5"/>
      <c r="P64" s="1"/>
      <c r="S64" s="1"/>
      <c r="V64" s="1"/>
    </row>
    <row r="65" spans="2:22">
      <c r="B65" s="1"/>
      <c r="L65" s="5"/>
      <c r="M65" s="1"/>
      <c r="N65" s="5"/>
      <c r="P65" s="1"/>
      <c r="S65" s="1"/>
      <c r="V65" s="1"/>
    </row>
    <row r="66" spans="2:22">
      <c r="B66" s="1"/>
      <c r="L66" s="5"/>
      <c r="M66" s="1"/>
      <c r="N66" s="5"/>
      <c r="P66" s="1"/>
      <c r="S66" s="1"/>
      <c r="V66" s="1"/>
    </row>
    <row r="67" spans="2:22">
      <c r="B67" s="1"/>
      <c r="L67" s="5"/>
      <c r="M67" s="1"/>
      <c r="N67" s="5"/>
      <c r="P67" s="1"/>
      <c r="S67" s="1"/>
      <c r="V67" s="1"/>
    </row>
    <row r="68" spans="2:22">
      <c r="B68" s="1"/>
      <c r="M68" s="1"/>
      <c r="P68" s="1"/>
      <c r="S68" s="1"/>
      <c r="V68" s="1"/>
    </row>
    <row r="69" spans="2:22">
      <c r="B69" s="1"/>
      <c r="M69" s="2"/>
      <c r="P69" s="2"/>
      <c r="S69" s="2"/>
      <c r="V69" s="2"/>
    </row>
    <row r="70" spans="2:22" s="5" customFormat="1">
      <c r="B70" s="4"/>
      <c r="E70" s="11"/>
      <c r="F70" s="11"/>
      <c r="G70" s="11"/>
      <c r="M70" s="14"/>
      <c r="P70" s="14"/>
      <c r="S70" s="14"/>
      <c r="V70" s="14"/>
    </row>
    <row r="71" spans="2:22" s="5" customFormat="1">
      <c r="B71" s="4"/>
      <c r="E71" s="11"/>
      <c r="F71" s="11"/>
      <c r="G71" s="11"/>
      <c r="L71" s="3"/>
      <c r="M71" s="2"/>
      <c r="N71" s="3"/>
      <c r="P71" s="2"/>
      <c r="S71" s="2"/>
      <c r="V71" s="2"/>
    </row>
    <row r="72" spans="2:22" s="5" customFormat="1">
      <c r="B72" s="1"/>
      <c r="C72" s="3"/>
      <c r="D72" s="3"/>
      <c r="E72" s="11"/>
      <c r="F72" s="11"/>
      <c r="G72" s="11"/>
      <c r="M72" s="4"/>
      <c r="P72" s="4"/>
      <c r="S72" s="4"/>
      <c r="V72" s="4"/>
    </row>
    <row r="73" spans="2:22" s="5" customFormat="1">
      <c r="B73" s="1"/>
      <c r="C73" s="3"/>
      <c r="D73" s="3"/>
      <c r="E73" s="11"/>
      <c r="F73" s="11"/>
      <c r="G73" s="11"/>
      <c r="M73" s="4"/>
      <c r="P73" s="4"/>
      <c r="S73" s="4"/>
      <c r="V73" s="4"/>
    </row>
    <row r="74" spans="2:22">
      <c r="B74" s="1"/>
      <c r="L74" s="5"/>
      <c r="M74" s="4"/>
      <c r="N74" s="5"/>
      <c r="P74" s="4"/>
      <c r="S74" s="4"/>
      <c r="V74" s="4"/>
    </row>
    <row r="75" spans="2:22">
      <c r="B75" s="1"/>
      <c r="L75" s="5"/>
      <c r="M75" s="1"/>
      <c r="N75" s="5"/>
      <c r="P75" s="1"/>
      <c r="S75" s="1"/>
      <c r="V75" s="1"/>
    </row>
    <row r="76" spans="2:22">
      <c r="B76" s="1"/>
      <c r="L76" s="5"/>
      <c r="M76" s="1"/>
      <c r="N76" s="5"/>
      <c r="P76" s="1"/>
      <c r="S76" s="1"/>
      <c r="V76" s="1"/>
    </row>
    <row r="77" spans="2:22">
      <c r="B77" s="1"/>
      <c r="M77" s="1"/>
      <c r="P77" s="1"/>
      <c r="S77" s="1"/>
      <c r="V77" s="1"/>
    </row>
    <row r="78" spans="2:22">
      <c r="B78" s="1"/>
      <c r="M78" s="1"/>
      <c r="P78" s="1"/>
      <c r="S78" s="1"/>
      <c r="V78" s="1"/>
    </row>
    <row r="79" spans="2:22">
      <c r="B79" s="1"/>
      <c r="M79" s="1"/>
      <c r="P79" s="1"/>
      <c r="S79" s="1"/>
      <c r="V79" s="1"/>
    </row>
    <row r="80" spans="2:22">
      <c r="B80" s="1"/>
      <c r="M80" s="1"/>
      <c r="P80" s="1"/>
      <c r="S80" s="1"/>
      <c r="V80" s="1"/>
    </row>
    <row r="81" spans="2:22">
      <c r="B81" s="1"/>
      <c r="M81" s="1"/>
      <c r="P81" s="1"/>
      <c r="S81" s="1"/>
      <c r="V81" s="1"/>
    </row>
    <row r="82" spans="2:22">
      <c r="B82" s="1"/>
      <c r="M82" s="1"/>
      <c r="P82" s="1"/>
      <c r="S82" s="1"/>
      <c r="V82" s="1"/>
    </row>
    <row r="83" spans="2:22">
      <c r="B83" s="1"/>
      <c r="M83" s="1"/>
      <c r="P83" s="1"/>
      <c r="S83" s="1"/>
      <c r="V83" s="1"/>
    </row>
    <row r="84" spans="2:22">
      <c r="B84" s="1"/>
      <c r="M84" s="1"/>
      <c r="P84" s="1"/>
      <c r="S84" s="1"/>
      <c r="V84" s="1"/>
    </row>
    <row r="85" spans="2:22">
      <c r="M85" s="1"/>
      <c r="P85" s="1"/>
      <c r="S85" s="1"/>
      <c r="V85" s="1"/>
    </row>
    <row r="86" spans="2:22">
      <c r="M86" s="1"/>
      <c r="P86" s="1"/>
      <c r="S86" s="1"/>
      <c r="V86" s="1"/>
    </row>
    <row r="87" spans="2:22">
      <c r="M87" s="1"/>
      <c r="P87" s="1"/>
      <c r="S87" s="1"/>
      <c r="V87" s="1"/>
    </row>
  </sheetData>
  <pageMargins left="0.7" right="0.7" top="0.75" bottom="0.75" header="0.3" footer="0.3"/>
  <pageSetup orientation="portrait" horizontalDpi="203" verticalDpi="203"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F712-3D29-45F6-99B2-06BB2EFA3BAD}">
  <dimension ref="A1:W71"/>
  <sheetViews>
    <sheetView topLeftCell="B1" workbookViewId="0">
      <pane ySplit="2" topLeftCell="A44" activePane="bottomLeft" state="frozen"/>
      <selection pane="bottomLeft" activeCell="H57" sqref="H57"/>
      <selection activeCell="B1" sqref="B1"/>
    </sheetView>
  </sheetViews>
  <sheetFormatPr defaultColWidth="8.85546875" defaultRowHeight="15.95"/>
  <cols>
    <col min="1" max="1" width="14.140625" style="3" customWidth="1"/>
    <col min="2" max="2" width="60.28515625" style="3" customWidth="1"/>
    <col min="3" max="3" width="2.140625" style="3" customWidth="1"/>
    <col min="4" max="4" width="14.5703125" style="13" customWidth="1"/>
    <col min="5" max="5" width="2.140625" style="3" customWidth="1"/>
    <col min="6" max="6" width="14.5703125" style="13" customWidth="1"/>
    <col min="7" max="7" width="2.140625" style="3" customWidth="1"/>
    <col min="8" max="8" width="26.5703125" style="3" customWidth="1"/>
    <col min="9" max="9" width="2.42578125" style="3" customWidth="1"/>
    <col min="10" max="10" width="13.7109375" style="3" customWidth="1"/>
    <col min="11" max="11" width="2.42578125" style="3" customWidth="1"/>
    <col min="12" max="12" width="8.85546875" style="3"/>
    <col min="13" max="13" width="13.7109375" style="3" customWidth="1"/>
    <col min="14" max="14" width="2.7109375" style="3" customWidth="1"/>
    <col min="15" max="15" width="8.85546875" style="3"/>
    <col min="16" max="16" width="13.7109375" style="3" customWidth="1"/>
    <col min="17" max="17" width="2.7109375" style="3" customWidth="1"/>
    <col min="18" max="18" width="6.85546875" style="3" customWidth="1"/>
    <col min="19" max="19" width="11.42578125" style="3" customWidth="1"/>
    <col min="20" max="20" width="2.42578125" style="3" customWidth="1"/>
    <col min="21" max="21" width="15.5703125" style="3" customWidth="1"/>
    <col min="22" max="22" width="3.140625" style="3" customWidth="1"/>
    <col min="23" max="23" width="31" style="3" customWidth="1"/>
    <col min="24" max="16384" width="8.85546875" style="3"/>
  </cols>
  <sheetData>
    <row r="1" spans="1:23" s="5" customFormat="1">
      <c r="A1" s="5" t="s">
        <v>402</v>
      </c>
      <c r="D1" s="11"/>
      <c r="F1" s="11"/>
      <c r="L1" s="4"/>
      <c r="O1" s="4"/>
      <c r="R1" s="4"/>
    </row>
    <row r="2" spans="1:23" s="5" customFormat="1" ht="47.65">
      <c r="B2" s="5" t="s">
        <v>1211</v>
      </c>
      <c r="D2" s="12" t="s">
        <v>111</v>
      </c>
      <c r="F2" s="12" t="s">
        <v>68</v>
      </c>
      <c r="H2" s="6" t="s">
        <v>5</v>
      </c>
      <c r="I2" s="6"/>
      <c r="J2" s="7" t="s">
        <v>674</v>
      </c>
      <c r="K2" s="6"/>
      <c r="L2" s="17"/>
      <c r="M2" s="7" t="s">
        <v>193</v>
      </c>
      <c r="O2" s="17"/>
      <c r="P2" s="7" t="s">
        <v>69</v>
      </c>
      <c r="R2" s="17"/>
      <c r="S2" s="7" t="s">
        <v>70</v>
      </c>
      <c r="U2" s="5" t="s">
        <v>71</v>
      </c>
      <c r="W2" s="5" t="s">
        <v>404</v>
      </c>
    </row>
    <row r="3" spans="1:23" s="5" customFormat="1">
      <c r="A3" s="4" t="s">
        <v>73</v>
      </c>
      <c r="D3" s="11"/>
      <c r="F3" s="11"/>
    </row>
    <row r="4" spans="1:23">
      <c r="L4" s="1"/>
      <c r="O4" s="1"/>
      <c r="R4" s="1"/>
    </row>
    <row r="5" spans="1:23">
      <c r="B5" s="3" t="s">
        <v>675</v>
      </c>
      <c r="D5" s="13">
        <v>150</v>
      </c>
      <c r="F5" s="13">
        <v>2120</v>
      </c>
      <c r="L5" s="8" t="b">
        <v>0</v>
      </c>
      <c r="O5" s="8" t="b">
        <v>0</v>
      </c>
      <c r="R5" s="8" t="b">
        <v>0</v>
      </c>
    </row>
    <row r="6" spans="1:23">
      <c r="L6" s="8" t="b">
        <v>0</v>
      </c>
      <c r="O6" s="8" t="b">
        <v>0</v>
      </c>
      <c r="R6" s="8" t="b">
        <v>0</v>
      </c>
    </row>
    <row r="7" spans="1:23">
      <c r="L7" s="8" t="b">
        <v>0</v>
      </c>
      <c r="O7" s="8" t="b">
        <v>0</v>
      </c>
      <c r="R7" s="8" t="b">
        <v>0</v>
      </c>
    </row>
    <row r="8" spans="1:23">
      <c r="A8" s="3" t="s">
        <v>677</v>
      </c>
      <c r="B8" s="3" t="s">
        <v>898</v>
      </c>
      <c r="D8" s="13">
        <v>700</v>
      </c>
      <c r="F8" s="13">
        <v>431.92</v>
      </c>
      <c r="H8" s="3" t="s">
        <v>8</v>
      </c>
      <c r="L8" s="8" t="b">
        <v>0</v>
      </c>
      <c r="M8" s="10">
        <v>45775</v>
      </c>
      <c r="O8" s="8" t="b">
        <v>1</v>
      </c>
      <c r="P8" s="10">
        <v>45777</v>
      </c>
      <c r="R8" s="8" t="b">
        <v>1</v>
      </c>
    </row>
    <row r="9" spans="1:23">
      <c r="B9" s="3" t="s">
        <v>1212</v>
      </c>
      <c r="L9" s="8" t="b">
        <v>0</v>
      </c>
      <c r="O9" s="8" t="b">
        <v>0</v>
      </c>
      <c r="R9" s="8" t="b">
        <v>0</v>
      </c>
    </row>
    <row r="10" spans="1:23">
      <c r="B10" s="3" t="s">
        <v>1213</v>
      </c>
      <c r="F10" s="13">
        <v>387.86</v>
      </c>
      <c r="H10" s="3" t="s">
        <v>6</v>
      </c>
      <c r="L10" s="8" t="b">
        <v>0</v>
      </c>
      <c r="M10" s="10">
        <v>45778</v>
      </c>
      <c r="O10" s="8" t="b">
        <v>1</v>
      </c>
      <c r="P10" s="10">
        <v>45778</v>
      </c>
      <c r="R10" s="8" t="b">
        <v>0</v>
      </c>
    </row>
    <row r="11" spans="1:23">
      <c r="B11" s="3" t="s">
        <v>1214</v>
      </c>
      <c r="F11" s="13">
        <v>125.39</v>
      </c>
      <c r="H11" s="3" t="s">
        <v>12</v>
      </c>
      <c r="L11" s="8" t="b">
        <v>0</v>
      </c>
      <c r="M11" s="10">
        <v>45769</v>
      </c>
      <c r="O11" s="8" t="b">
        <v>1</v>
      </c>
      <c r="P11" s="10">
        <v>45770</v>
      </c>
      <c r="R11" s="8" t="b">
        <v>1</v>
      </c>
    </row>
    <row r="12" spans="1:23">
      <c r="L12" s="1"/>
      <c r="O12" s="1"/>
      <c r="R12" s="1"/>
    </row>
    <row r="13" spans="1:23">
      <c r="A13" s="3" t="s">
        <v>301</v>
      </c>
      <c r="B13" s="3" t="s">
        <v>429</v>
      </c>
      <c r="D13" s="13">
        <v>900</v>
      </c>
      <c r="F13" s="13">
        <v>200</v>
      </c>
      <c r="H13" s="3" t="s">
        <v>48</v>
      </c>
      <c r="J13" s="10"/>
      <c r="L13" s="8" t="b">
        <v>0</v>
      </c>
      <c r="M13" s="10"/>
      <c r="O13" s="8" t="b">
        <v>0</v>
      </c>
      <c r="P13" s="10"/>
      <c r="R13" s="8" t="b">
        <v>0</v>
      </c>
    </row>
    <row r="14" spans="1:23">
      <c r="B14" s="3" t="s">
        <v>1215</v>
      </c>
      <c r="F14" s="13">
        <v>275</v>
      </c>
      <c r="H14" s="3" t="s">
        <v>48</v>
      </c>
      <c r="J14" s="10"/>
      <c r="L14" s="8" t="b">
        <v>0</v>
      </c>
      <c r="M14" s="10"/>
      <c r="O14" s="8" t="b">
        <v>0</v>
      </c>
      <c r="P14" s="10"/>
      <c r="R14" s="8" t="b">
        <v>0</v>
      </c>
    </row>
    <row r="15" spans="1:23">
      <c r="B15" s="3" t="s">
        <v>1216</v>
      </c>
      <c r="F15" s="13">
        <f>194.88-21.69</f>
        <v>173.19</v>
      </c>
      <c r="H15" s="3" t="s">
        <v>1008</v>
      </c>
      <c r="J15" s="10"/>
      <c r="L15" s="8" t="b">
        <v>0</v>
      </c>
      <c r="M15" s="10">
        <v>45785</v>
      </c>
      <c r="O15" s="8" t="b">
        <v>1</v>
      </c>
      <c r="P15" s="10">
        <v>45787</v>
      </c>
      <c r="R15" s="8" t="b">
        <v>1</v>
      </c>
    </row>
    <row r="16" spans="1:23">
      <c r="B16" s="3" t="s">
        <v>689</v>
      </c>
      <c r="F16" s="13">
        <v>300</v>
      </c>
      <c r="H16" s="3" t="s">
        <v>48</v>
      </c>
      <c r="J16" s="10"/>
      <c r="L16" s="8" t="b">
        <v>0</v>
      </c>
      <c r="M16" s="10"/>
      <c r="O16" s="8" t="b">
        <v>0</v>
      </c>
      <c r="P16" s="10"/>
      <c r="R16" s="8" t="b">
        <v>0</v>
      </c>
    </row>
    <row r="17" spans="1:18">
      <c r="B17" s="3" t="s">
        <v>726</v>
      </c>
      <c r="F17" s="13">
        <v>194.88</v>
      </c>
      <c r="H17" s="3" t="s">
        <v>1008</v>
      </c>
      <c r="J17" s="10"/>
      <c r="L17" s="8" t="b">
        <v>0</v>
      </c>
      <c r="M17" s="10">
        <v>45783</v>
      </c>
      <c r="O17" s="8" t="b">
        <v>1</v>
      </c>
      <c r="P17" s="10">
        <v>45785</v>
      </c>
      <c r="R17" s="8" t="b">
        <v>1</v>
      </c>
    </row>
    <row r="18" spans="1:18">
      <c r="B18" s="3" t="s">
        <v>727</v>
      </c>
      <c r="F18" s="13">
        <v>506</v>
      </c>
      <c r="H18" s="3" t="s">
        <v>48</v>
      </c>
      <c r="J18" s="10"/>
      <c r="L18" s="8" t="b">
        <v>0</v>
      </c>
      <c r="M18" s="10"/>
      <c r="O18" s="8" t="b">
        <v>0</v>
      </c>
      <c r="P18" s="10"/>
      <c r="R18" s="8" t="b">
        <v>0</v>
      </c>
    </row>
    <row r="19" spans="1:18">
      <c r="J19" s="10"/>
      <c r="L19" s="8" t="b">
        <v>0</v>
      </c>
      <c r="M19" s="10"/>
      <c r="O19" s="8" t="b">
        <v>0</v>
      </c>
      <c r="P19" s="10"/>
      <c r="R19" s="8" t="b">
        <v>0</v>
      </c>
    </row>
    <row r="20" spans="1:18">
      <c r="J20" s="10"/>
      <c r="L20" s="1"/>
      <c r="M20" s="10"/>
      <c r="O20" s="1"/>
      <c r="P20" s="10"/>
      <c r="R20" s="1"/>
    </row>
    <row r="21" spans="1:18">
      <c r="A21" s="3" t="s">
        <v>407</v>
      </c>
      <c r="B21" s="3" t="s">
        <v>823</v>
      </c>
      <c r="D21" s="13">
        <v>24000</v>
      </c>
      <c r="F21" s="13">
        <v>25520</v>
      </c>
      <c r="H21" s="3" t="s">
        <v>138</v>
      </c>
      <c r="J21" s="10">
        <v>45730</v>
      </c>
      <c r="L21" s="8" t="b">
        <v>1</v>
      </c>
      <c r="M21" s="10">
        <v>45731</v>
      </c>
      <c r="O21" s="8" t="b">
        <v>1</v>
      </c>
      <c r="P21" s="10">
        <v>45735</v>
      </c>
      <c r="R21" s="8" t="b">
        <v>1</v>
      </c>
    </row>
    <row r="22" spans="1:18">
      <c r="B22" s="3" t="s">
        <v>410</v>
      </c>
      <c r="F22" s="13">
        <v>155.47999999999999</v>
      </c>
      <c r="H22" s="3" t="s">
        <v>105</v>
      </c>
      <c r="J22" s="10"/>
      <c r="L22" s="8" t="b">
        <v>0</v>
      </c>
      <c r="M22" s="10">
        <v>45804</v>
      </c>
      <c r="O22" s="8" t="b">
        <v>1</v>
      </c>
      <c r="P22" s="10">
        <v>45804</v>
      </c>
      <c r="R22" s="8" t="b">
        <v>1</v>
      </c>
    </row>
    <row r="23" spans="1:18">
      <c r="J23" s="10"/>
      <c r="L23" s="8" t="b">
        <v>0</v>
      </c>
      <c r="M23" s="10"/>
      <c r="O23" s="8" t="b">
        <v>0</v>
      </c>
      <c r="P23" s="10"/>
      <c r="R23" s="8" t="b">
        <v>0</v>
      </c>
    </row>
    <row r="24" spans="1:18">
      <c r="J24" s="10"/>
      <c r="L24" s="1"/>
      <c r="M24" s="10"/>
      <c r="O24" s="1"/>
      <c r="P24" s="10"/>
      <c r="R24" s="1"/>
    </row>
    <row r="25" spans="1:18">
      <c r="A25" s="3" t="s">
        <v>411</v>
      </c>
      <c r="B25" s="3" t="s">
        <v>1217</v>
      </c>
      <c r="D25" s="13">
        <v>12800</v>
      </c>
      <c r="F25" s="13">
        <v>7950</v>
      </c>
      <c r="H25" s="3" t="s">
        <v>1218</v>
      </c>
      <c r="J25" s="10">
        <v>45762</v>
      </c>
      <c r="L25" s="8" t="b">
        <v>1</v>
      </c>
      <c r="M25" s="10">
        <v>45737</v>
      </c>
      <c r="O25" s="8" t="b">
        <v>1</v>
      </c>
      <c r="P25" s="10">
        <v>45762</v>
      </c>
      <c r="R25" s="8" t="b">
        <v>1</v>
      </c>
    </row>
    <row r="26" spans="1:18">
      <c r="J26" s="10"/>
      <c r="L26" s="1"/>
      <c r="M26" s="10"/>
      <c r="O26" s="1"/>
      <c r="P26" s="10"/>
      <c r="R26" s="1"/>
    </row>
    <row r="27" spans="1:18">
      <c r="A27" s="3" t="s">
        <v>543</v>
      </c>
      <c r="B27" s="3" t="s">
        <v>1219</v>
      </c>
      <c r="D27" s="13">
        <v>300</v>
      </c>
      <c r="L27" s="1"/>
      <c r="O27" s="1"/>
      <c r="R27" s="8" t="b">
        <v>0</v>
      </c>
    </row>
    <row r="28" spans="1:18">
      <c r="B28" s="3" t="s">
        <v>1220</v>
      </c>
      <c r="F28" s="13">
        <v>582.49</v>
      </c>
      <c r="H28" s="3" t="s">
        <v>138</v>
      </c>
      <c r="J28" s="10">
        <v>45762</v>
      </c>
      <c r="L28" s="8" t="b">
        <v>1</v>
      </c>
      <c r="M28" s="10">
        <v>45762</v>
      </c>
      <c r="O28" s="8" t="b">
        <v>1</v>
      </c>
      <c r="P28" s="10">
        <v>45763</v>
      </c>
      <c r="R28" s="8" t="b">
        <v>1</v>
      </c>
    </row>
    <row r="29" spans="1:18">
      <c r="B29" s="3" t="s">
        <v>1221</v>
      </c>
      <c r="F29" s="13">
        <v>50.53</v>
      </c>
      <c r="H29" s="3" t="s">
        <v>167</v>
      </c>
      <c r="L29" s="9" t="b">
        <v>0</v>
      </c>
      <c r="M29" s="3" t="s">
        <v>1222</v>
      </c>
      <c r="O29" s="9" t="b">
        <v>1</v>
      </c>
      <c r="P29" s="10">
        <v>45810</v>
      </c>
      <c r="R29" s="9" t="b">
        <v>1</v>
      </c>
    </row>
    <row r="30" spans="1:18">
      <c r="B30" s="3" t="s">
        <v>1223</v>
      </c>
      <c r="F30" s="13">
        <v>27.82</v>
      </c>
      <c r="H30" s="3" t="s">
        <v>138</v>
      </c>
      <c r="L30" s="9" t="b">
        <v>0</v>
      </c>
      <c r="M30" s="10">
        <v>45811</v>
      </c>
      <c r="O30" s="9" t="b">
        <v>1</v>
      </c>
      <c r="P30" s="10">
        <v>45812</v>
      </c>
      <c r="R30" s="9" t="b">
        <v>1</v>
      </c>
    </row>
    <row r="31" spans="1:18">
      <c r="J31" s="10"/>
      <c r="L31" s="1"/>
      <c r="M31" s="10"/>
      <c r="O31" s="1"/>
      <c r="P31" s="10"/>
      <c r="R31" s="1"/>
    </row>
    <row r="32" spans="1:18">
      <c r="A32" s="3" t="s">
        <v>100</v>
      </c>
      <c r="B32" s="3" t="s">
        <v>1224</v>
      </c>
      <c r="D32" s="13">
        <v>600</v>
      </c>
      <c r="L32" s="8" t="b">
        <v>0</v>
      </c>
      <c r="O32" s="8" t="b">
        <v>0</v>
      </c>
      <c r="R32" s="8" t="b">
        <v>0</v>
      </c>
    </row>
    <row r="33" spans="1:18">
      <c r="B33" s="3" t="s">
        <v>1225</v>
      </c>
      <c r="F33" s="13">
        <v>467.44</v>
      </c>
      <c r="H33" s="3" t="s">
        <v>1226</v>
      </c>
      <c r="L33" s="8" t="b">
        <v>0</v>
      </c>
      <c r="M33" s="3" t="s">
        <v>1052</v>
      </c>
      <c r="O33" s="8" t="b">
        <v>0</v>
      </c>
      <c r="P33" s="10">
        <v>45810</v>
      </c>
      <c r="R33" s="8" t="b">
        <v>0</v>
      </c>
    </row>
    <row r="34" spans="1:18">
      <c r="B34" s="3" t="s">
        <v>1227</v>
      </c>
      <c r="F34" s="13">
        <v>14.91</v>
      </c>
      <c r="L34" s="8" t="b">
        <v>0</v>
      </c>
      <c r="M34" s="3" t="s">
        <v>1052</v>
      </c>
      <c r="O34" s="8" t="b">
        <v>0</v>
      </c>
      <c r="P34" s="10">
        <v>45810</v>
      </c>
      <c r="R34" s="8" t="b">
        <v>0</v>
      </c>
    </row>
    <row r="35" spans="1:18">
      <c r="B35" s="3" t="s">
        <v>1228</v>
      </c>
      <c r="F35" s="13">
        <v>99.28</v>
      </c>
      <c r="L35" s="8" t="b">
        <v>0</v>
      </c>
      <c r="M35" s="3" t="s">
        <v>1052</v>
      </c>
      <c r="O35" s="8" t="b">
        <v>0</v>
      </c>
      <c r="P35" s="10">
        <v>45810</v>
      </c>
      <c r="R35" s="8" t="b">
        <v>0</v>
      </c>
    </row>
    <row r="36" spans="1:18">
      <c r="B36" s="3" t="s">
        <v>1229</v>
      </c>
      <c r="F36" s="13">
        <v>228.44</v>
      </c>
      <c r="H36" s="3" t="s">
        <v>1230</v>
      </c>
      <c r="L36" s="8" t="b">
        <v>0</v>
      </c>
      <c r="M36" s="3" t="s">
        <v>1052</v>
      </c>
      <c r="O36" s="8" t="b">
        <v>0</v>
      </c>
      <c r="P36" s="10">
        <v>45815</v>
      </c>
      <c r="R36" s="8" t="b">
        <v>0</v>
      </c>
    </row>
    <row r="37" spans="1:18">
      <c r="B37" s="3" t="s">
        <v>1231</v>
      </c>
      <c r="F37" s="13">
        <v>37.33</v>
      </c>
      <c r="H37" s="3" t="s">
        <v>1230</v>
      </c>
      <c r="L37" s="8" t="b">
        <v>0</v>
      </c>
      <c r="O37" s="8" t="b">
        <v>0</v>
      </c>
      <c r="R37" s="8" t="b">
        <v>0</v>
      </c>
    </row>
    <row r="38" spans="1:18">
      <c r="L38" s="8" t="b">
        <v>0</v>
      </c>
      <c r="O38" s="8" t="b">
        <v>0</v>
      </c>
      <c r="R38" s="8" t="b">
        <v>0</v>
      </c>
    </row>
    <row r="39" spans="1:18">
      <c r="A39" s="3" t="s">
        <v>1232</v>
      </c>
      <c r="L39" s="8" t="b">
        <v>0</v>
      </c>
      <c r="O39" s="8" t="b">
        <v>0</v>
      </c>
      <c r="R39" s="8" t="b">
        <v>0</v>
      </c>
    </row>
    <row r="40" spans="1:18">
      <c r="B40" s="3" t="s">
        <v>1233</v>
      </c>
      <c r="F40" s="13">
        <v>151.44</v>
      </c>
      <c r="L40" s="1"/>
      <c r="O40" s="1"/>
      <c r="R40" s="1"/>
    </row>
    <row r="41" spans="1:18">
      <c r="B41" s="3" t="s">
        <v>1234</v>
      </c>
      <c r="F41" s="13">
        <v>299.35000000000002</v>
      </c>
      <c r="L41" s="1"/>
      <c r="O41" s="1"/>
      <c r="R41" s="1"/>
    </row>
    <row r="42" spans="1:18">
      <c r="B42" s="3" t="s">
        <v>1235</v>
      </c>
      <c r="L42" s="1"/>
      <c r="O42" s="1"/>
      <c r="R42" s="1"/>
    </row>
    <row r="43" spans="1:18">
      <c r="L43" s="1"/>
      <c r="O43" s="1"/>
      <c r="R43" s="1"/>
    </row>
    <row r="44" spans="1:18">
      <c r="B44" s="3" t="s">
        <v>1236</v>
      </c>
      <c r="H44" s="3" t="s">
        <v>1237</v>
      </c>
      <c r="L44" s="8" t="b">
        <v>0</v>
      </c>
      <c r="O44" s="8" t="b">
        <v>0</v>
      </c>
      <c r="R44" s="8" t="b">
        <v>0</v>
      </c>
    </row>
    <row r="45" spans="1:18">
      <c r="L45" s="8" t="b">
        <v>0</v>
      </c>
      <c r="O45" s="8" t="b">
        <v>0</v>
      </c>
      <c r="R45" s="8" t="b">
        <v>0</v>
      </c>
    </row>
    <row r="46" spans="1:18">
      <c r="L46" s="8" t="b">
        <v>0</v>
      </c>
      <c r="O46" s="8" t="b">
        <v>0</v>
      </c>
      <c r="R46" s="8" t="b">
        <v>0</v>
      </c>
    </row>
    <row r="47" spans="1:18">
      <c r="L47" s="8" t="b">
        <v>0</v>
      </c>
      <c r="O47" s="8" t="b">
        <v>0</v>
      </c>
      <c r="R47" s="8" t="b">
        <v>0</v>
      </c>
    </row>
    <row r="48" spans="1:18" s="5" customFormat="1">
      <c r="B48" s="3"/>
      <c r="C48" s="3"/>
      <c r="D48" s="13"/>
      <c r="F48" s="13"/>
      <c r="L48" s="8" t="b">
        <v>0</v>
      </c>
      <c r="O48" s="8" t="b">
        <v>0</v>
      </c>
      <c r="R48" s="8" t="b">
        <v>0</v>
      </c>
    </row>
    <row r="49" spans="2:18" s="5" customFormat="1">
      <c r="B49" s="3"/>
      <c r="C49" s="3"/>
      <c r="D49" s="13"/>
      <c r="F49" s="13"/>
      <c r="L49" s="8" t="b">
        <v>0</v>
      </c>
      <c r="O49" s="8" t="b">
        <v>0</v>
      </c>
      <c r="R49" s="8" t="b">
        <v>0</v>
      </c>
    </row>
    <row r="50" spans="2:18" s="5" customFormat="1">
      <c r="B50" s="3"/>
      <c r="C50" s="3"/>
      <c r="D50" s="13"/>
      <c r="F50" s="13"/>
      <c r="L50" s="8" t="b">
        <v>0</v>
      </c>
      <c r="O50" s="8" t="b">
        <v>0</v>
      </c>
      <c r="R50" s="8" t="b">
        <v>0</v>
      </c>
    </row>
    <row r="51" spans="2:18" s="5" customFormat="1">
      <c r="B51" s="3"/>
      <c r="C51" s="3"/>
      <c r="D51" s="13"/>
      <c r="F51" s="13"/>
      <c r="L51" s="8" t="b">
        <v>0</v>
      </c>
      <c r="O51" s="8" t="b">
        <v>0</v>
      </c>
      <c r="R51" s="8" t="b">
        <v>0</v>
      </c>
    </row>
    <row r="52" spans="2:18">
      <c r="L52" s="1"/>
      <c r="O52" s="1"/>
      <c r="R52" s="1"/>
    </row>
    <row r="53" spans="2:18">
      <c r="L53" s="2"/>
      <c r="O53" s="2"/>
      <c r="R53" s="2"/>
    </row>
    <row r="54" spans="2:18" s="5" customFormat="1">
      <c r="B54" s="5" t="s">
        <v>509</v>
      </c>
      <c r="D54" s="11">
        <f>SUM(D8:D53)</f>
        <v>39300</v>
      </c>
      <c r="F54" s="11">
        <f>SUM(F8:F53)</f>
        <v>38178.750000000007</v>
      </c>
      <c r="L54" s="14"/>
      <c r="O54" s="14"/>
      <c r="R54" s="14"/>
    </row>
    <row r="55" spans="2:18">
      <c r="B55" s="42" t="s">
        <v>1238</v>
      </c>
      <c r="L55" s="2"/>
      <c r="O55" s="2"/>
      <c r="R55" s="2"/>
    </row>
    <row r="56" spans="2:18" s="38" customFormat="1">
      <c r="B56" s="38" t="s">
        <v>1239</v>
      </c>
      <c r="D56" s="45"/>
      <c r="F56" s="45"/>
      <c r="L56" s="46"/>
      <c r="O56" s="46"/>
      <c r="R56" s="46"/>
    </row>
    <row r="57" spans="2:18" s="5" customFormat="1">
      <c r="D57" s="11"/>
      <c r="F57" s="11">
        <f>D54-F54</f>
        <v>1121.2499999999927</v>
      </c>
      <c r="H57" s="5" t="s">
        <v>1240</v>
      </c>
      <c r="L57" s="4"/>
      <c r="O57" s="4"/>
      <c r="R57" s="4"/>
    </row>
    <row r="58" spans="2:18" s="5" customFormat="1">
      <c r="D58" s="11"/>
      <c r="F58" s="11"/>
      <c r="L58" s="4"/>
      <c r="O58" s="4"/>
      <c r="R58" s="4"/>
    </row>
    <row r="59" spans="2:18" s="5" customFormat="1">
      <c r="B59" s="3"/>
      <c r="C59" s="3"/>
      <c r="D59" s="13"/>
      <c r="F59" s="13"/>
      <c r="L59" s="1"/>
      <c r="O59" s="1"/>
      <c r="R59" s="1"/>
    </row>
    <row r="60" spans="2:18" s="5" customFormat="1">
      <c r="B60" s="3"/>
      <c r="C60" s="3"/>
      <c r="D60" s="13"/>
      <c r="F60" s="13"/>
      <c r="L60" s="1"/>
      <c r="O60" s="1"/>
      <c r="R60" s="1"/>
    </row>
    <row r="61" spans="2:18">
      <c r="L61" s="1"/>
      <c r="O61" s="1"/>
      <c r="R61" s="1"/>
    </row>
    <row r="62" spans="2:18">
      <c r="L62" s="1"/>
      <c r="O62" s="1"/>
      <c r="R62" s="1"/>
    </row>
    <row r="63" spans="2:18">
      <c r="L63" s="1"/>
      <c r="O63" s="1"/>
      <c r="R63" s="1"/>
    </row>
    <row r="64" spans="2:18">
      <c r="L64" s="1"/>
      <c r="O64" s="1"/>
      <c r="R64" s="1"/>
    </row>
    <row r="65" spans="12:18">
      <c r="L65" s="1"/>
      <c r="O65" s="1"/>
      <c r="R65" s="1"/>
    </row>
    <row r="66" spans="12:18">
      <c r="L66" s="1"/>
      <c r="O66" s="1"/>
      <c r="R66" s="1"/>
    </row>
    <row r="67" spans="12:18">
      <c r="L67" s="1"/>
      <c r="O67" s="1"/>
      <c r="R67" s="1"/>
    </row>
    <row r="68" spans="12:18">
      <c r="L68" s="1"/>
      <c r="O68" s="1"/>
      <c r="R68" s="1"/>
    </row>
    <row r="69" spans="12:18">
      <c r="L69" s="1"/>
      <c r="O69" s="1"/>
      <c r="R69" s="1"/>
    </row>
    <row r="70" spans="12:18">
      <c r="L70" s="1"/>
      <c r="O70" s="1"/>
      <c r="R70" s="1"/>
    </row>
    <row r="71" spans="12:18">
      <c r="L71" s="1"/>
      <c r="O71" s="1"/>
      <c r="R71" s="1"/>
    </row>
  </sheetData>
  <pageMargins left="0.7" right="0.7" top="0.75" bottom="0.75" header="0.3" footer="0.3"/>
  <pageSetup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DC24-C190-4A99-A492-679E97DDAA65}">
  <dimension ref="A1:U91"/>
  <sheetViews>
    <sheetView workbookViewId="0">
      <pane ySplit="2" topLeftCell="A41" activePane="bottomLeft" state="frozen"/>
      <selection pane="bottomLeft" activeCell="H57" sqref="H57"/>
      <selection activeCell="C1" sqref="C1"/>
    </sheetView>
  </sheetViews>
  <sheetFormatPr defaultColWidth="8.85546875" defaultRowHeight="15.75" customHeight="1"/>
  <cols>
    <col min="1" max="1" width="12.7109375" style="3" customWidth="1"/>
    <col min="2" max="2" width="9.140625" style="3"/>
    <col min="3" max="3" width="47.85546875" style="3" customWidth="1"/>
    <col min="4" max="4" width="2.140625" style="3" customWidth="1"/>
    <col min="5" max="5" width="24.140625" style="13" customWidth="1"/>
    <col min="6" max="6" width="26.5703125" style="3" customWidth="1"/>
    <col min="7" max="7" width="2.42578125" style="3" customWidth="1"/>
    <col min="8" max="8" width="13.7109375" style="3" customWidth="1"/>
    <col min="9" max="9" width="2.42578125" style="3" customWidth="1"/>
    <col min="10" max="10" width="9.140625" style="3"/>
    <col min="11" max="11" width="13.7109375" style="3" customWidth="1"/>
    <col min="12" max="12" width="2.7109375" style="3" customWidth="1"/>
    <col min="13" max="13" width="9.140625" style="3"/>
    <col min="14" max="14" width="13.7109375" style="3" customWidth="1"/>
    <col min="15" max="15" width="2.7109375" style="3" customWidth="1"/>
    <col min="16" max="16" width="9.140625" style="3"/>
    <col min="17" max="17" width="11.42578125" style="3" customWidth="1"/>
    <col min="18" max="18" width="2.140625" style="3" customWidth="1"/>
    <col min="19" max="19" width="9.140625" style="3"/>
    <col min="20" max="20" width="11.42578125" style="3" customWidth="1"/>
    <col min="21" max="21" width="32.5703125" style="3" customWidth="1"/>
    <col min="22" max="22" width="21.42578125" style="3" customWidth="1"/>
    <col min="23" max="16384" width="8.85546875" style="3"/>
  </cols>
  <sheetData>
    <row r="1" spans="1:21" s="5" customFormat="1" ht="15.95">
      <c r="A1" s="4" t="s">
        <v>560</v>
      </c>
      <c r="E1" s="11"/>
      <c r="J1" s="4"/>
      <c r="M1" s="4"/>
      <c r="P1" s="4"/>
      <c r="S1" s="4"/>
    </row>
    <row r="2" spans="1:21" s="5" customFormat="1" ht="47.65">
      <c r="B2" s="4"/>
      <c r="C2" s="5" t="s">
        <v>1241</v>
      </c>
      <c r="E2" s="32" t="s">
        <v>1242</v>
      </c>
      <c r="F2" s="6" t="s">
        <v>5</v>
      </c>
      <c r="G2" s="6"/>
      <c r="H2" s="7" t="s">
        <v>591</v>
      </c>
      <c r="I2" s="6"/>
      <c r="J2" s="17"/>
      <c r="K2" s="7" t="s">
        <v>193</v>
      </c>
      <c r="M2" s="17"/>
      <c r="N2" s="7" t="s">
        <v>69</v>
      </c>
      <c r="P2" s="17"/>
      <c r="Q2" s="7" t="s">
        <v>70</v>
      </c>
      <c r="S2" s="17"/>
      <c r="T2" s="7" t="s">
        <v>71</v>
      </c>
      <c r="U2" s="6" t="s">
        <v>72</v>
      </c>
    </row>
    <row r="3" spans="1:21" s="5" customFormat="1" ht="15.95">
      <c r="A3" s="4" t="s">
        <v>73</v>
      </c>
      <c r="E3" s="11"/>
    </row>
    <row r="4" spans="1:21" ht="15.95">
      <c r="B4" s="1"/>
      <c r="J4" s="1"/>
      <c r="M4" s="1"/>
      <c r="P4" s="1"/>
      <c r="S4" s="1"/>
    </row>
    <row r="5" spans="1:21" ht="15.95">
      <c r="A5" s="20"/>
      <c r="B5" s="20"/>
      <c r="C5" s="20"/>
      <c r="J5" s="1"/>
      <c r="M5" s="1"/>
      <c r="P5" s="8" t="b">
        <v>0</v>
      </c>
      <c r="S5" s="8" t="b">
        <v>0</v>
      </c>
    </row>
    <row r="6" spans="1:21" ht="15.95">
      <c r="A6" s="20"/>
      <c r="B6" s="20"/>
      <c r="C6" s="20" t="s">
        <v>562</v>
      </c>
      <c r="J6" s="8" t="b">
        <v>0</v>
      </c>
      <c r="M6" s="8" t="b">
        <v>0</v>
      </c>
      <c r="P6" s="8" t="b">
        <v>0</v>
      </c>
      <c r="S6" s="8" t="b">
        <v>0</v>
      </c>
    </row>
    <row r="7" spans="1:21" ht="15.95">
      <c r="A7" s="20" t="s">
        <v>1243</v>
      </c>
      <c r="B7" s="20"/>
      <c r="C7" s="20" t="s">
        <v>1244</v>
      </c>
      <c r="F7" s="3" t="s">
        <v>967</v>
      </c>
      <c r="J7" s="8" t="b">
        <v>1</v>
      </c>
      <c r="K7" s="10"/>
      <c r="M7" s="8" t="b">
        <v>1</v>
      </c>
      <c r="N7" s="10">
        <v>45710</v>
      </c>
      <c r="P7" s="8" t="b">
        <v>0</v>
      </c>
      <c r="S7" s="8" t="b">
        <v>0</v>
      </c>
    </row>
    <row r="8" spans="1:21" ht="15.95">
      <c r="A8" s="20"/>
      <c r="B8" s="20"/>
      <c r="C8" s="20" t="s">
        <v>1245</v>
      </c>
      <c r="J8" s="8" t="b">
        <v>0</v>
      </c>
      <c r="K8" s="10"/>
      <c r="M8" s="8" t="b">
        <v>0</v>
      </c>
      <c r="N8" s="10"/>
      <c r="P8" s="8" t="b">
        <v>0</v>
      </c>
      <c r="S8" s="8" t="b">
        <v>0</v>
      </c>
    </row>
    <row r="9" spans="1:21" ht="15.95">
      <c r="A9" s="20"/>
      <c r="B9" s="20"/>
      <c r="C9" s="20" t="s">
        <v>1246</v>
      </c>
      <c r="J9" s="8" t="b">
        <v>0</v>
      </c>
      <c r="M9" s="8" t="b">
        <v>0</v>
      </c>
      <c r="P9" s="8" t="b">
        <v>0</v>
      </c>
      <c r="S9" s="8" t="b">
        <v>0</v>
      </c>
    </row>
    <row r="10" spans="1:21" ht="15.95">
      <c r="A10" s="20"/>
      <c r="B10" s="20"/>
      <c r="C10" s="20" t="s">
        <v>1182</v>
      </c>
      <c r="J10" s="8" t="b">
        <v>0</v>
      </c>
      <c r="M10" s="8" t="b">
        <v>0</v>
      </c>
      <c r="P10" s="8" t="b">
        <v>0</v>
      </c>
      <c r="S10" s="8" t="b">
        <v>0</v>
      </c>
    </row>
    <row r="11" spans="1:21" ht="15.95">
      <c r="A11" s="20"/>
      <c r="B11" s="20"/>
      <c r="C11" s="20"/>
      <c r="J11" s="8" t="b">
        <v>0</v>
      </c>
      <c r="M11" s="8" t="b">
        <v>0</v>
      </c>
      <c r="P11" s="8" t="b">
        <v>0</v>
      </c>
      <c r="S11" s="8" t="b">
        <v>0</v>
      </c>
    </row>
    <row r="12" spans="1:21" ht="15.95">
      <c r="A12" s="20"/>
      <c r="B12" s="20"/>
      <c r="C12" s="20"/>
      <c r="J12" s="8" t="b">
        <v>0</v>
      </c>
      <c r="M12" s="8" t="b">
        <v>0</v>
      </c>
      <c r="P12" s="8" t="b">
        <v>0</v>
      </c>
      <c r="S12" s="8" t="b">
        <v>0</v>
      </c>
    </row>
    <row r="13" spans="1:21" ht="15.95">
      <c r="A13" s="20"/>
      <c r="B13" s="20"/>
      <c r="C13" s="20"/>
      <c r="J13" s="8" t="b">
        <v>0</v>
      </c>
      <c r="M13" s="8" t="b">
        <v>0</v>
      </c>
      <c r="P13" s="8" t="b">
        <v>0</v>
      </c>
      <c r="S13" s="8" t="b">
        <v>0</v>
      </c>
    </row>
    <row r="14" spans="1:21" ht="15.95">
      <c r="A14" s="20"/>
      <c r="B14" s="20"/>
      <c r="C14" s="20"/>
      <c r="J14" s="8" t="b">
        <v>0</v>
      </c>
      <c r="M14" s="8" t="b">
        <v>0</v>
      </c>
      <c r="P14" s="8" t="b">
        <v>0</v>
      </c>
      <c r="S14" s="8" t="b">
        <v>0</v>
      </c>
    </row>
    <row r="15" spans="1:21" ht="15.95">
      <c r="A15" s="20"/>
      <c r="B15" s="20"/>
      <c r="C15" s="20" t="s">
        <v>1247</v>
      </c>
      <c r="F15" s="3" t="s">
        <v>1248</v>
      </c>
      <c r="J15" s="8" t="b">
        <v>0</v>
      </c>
      <c r="M15" s="8" t="b">
        <v>1</v>
      </c>
      <c r="N15" s="10">
        <v>45686</v>
      </c>
      <c r="P15" s="8" t="b">
        <v>0</v>
      </c>
      <c r="S15" s="8" t="b">
        <v>0</v>
      </c>
    </row>
    <row r="16" spans="1:21" ht="15.95">
      <c r="A16" s="20" t="s">
        <v>563</v>
      </c>
      <c r="B16" s="20"/>
      <c r="C16" s="20" t="s">
        <v>82</v>
      </c>
      <c r="E16" s="13">
        <v>4431.67</v>
      </c>
      <c r="F16" s="3" t="s">
        <v>6</v>
      </c>
      <c r="J16" s="8" t="b">
        <v>1</v>
      </c>
      <c r="K16" s="10"/>
      <c r="M16" s="8" t="b">
        <v>1</v>
      </c>
      <c r="N16" s="10">
        <v>45712</v>
      </c>
      <c r="P16" s="8" t="b">
        <v>1</v>
      </c>
      <c r="Q16" s="10">
        <v>45735</v>
      </c>
      <c r="S16" s="8" t="b">
        <v>0</v>
      </c>
      <c r="T16" s="3" t="s">
        <v>1249</v>
      </c>
    </row>
    <row r="17" spans="1:21" ht="15.95">
      <c r="A17" s="20"/>
      <c r="B17" s="20"/>
      <c r="C17" s="20" t="s">
        <v>206</v>
      </c>
      <c r="F17" s="3" t="s">
        <v>6</v>
      </c>
      <c r="J17" s="8" t="b">
        <v>1</v>
      </c>
      <c r="K17" s="10"/>
      <c r="M17" s="8" t="b">
        <v>1</v>
      </c>
      <c r="N17" s="10">
        <v>45712</v>
      </c>
      <c r="P17" s="8" t="b">
        <v>1</v>
      </c>
      <c r="Q17" s="10">
        <v>45735</v>
      </c>
      <c r="S17" s="8" t="b">
        <v>0</v>
      </c>
      <c r="T17" s="3" t="s">
        <v>1249</v>
      </c>
    </row>
    <row r="18" spans="1:21" ht="15.95">
      <c r="A18" s="20"/>
      <c r="B18" s="20"/>
      <c r="C18" s="20" t="s">
        <v>28</v>
      </c>
      <c r="F18" s="3" t="s">
        <v>6</v>
      </c>
      <c r="J18" s="8" t="b">
        <v>1</v>
      </c>
      <c r="K18" s="10"/>
      <c r="M18" s="8" t="b">
        <v>1</v>
      </c>
      <c r="N18" s="10">
        <v>45712</v>
      </c>
      <c r="P18" s="8" t="b">
        <v>1</v>
      </c>
      <c r="Q18" s="10">
        <v>45735</v>
      </c>
      <c r="S18" s="8" t="b">
        <v>0</v>
      </c>
    </row>
    <row r="19" spans="1:21" ht="15.95">
      <c r="A19" s="20"/>
      <c r="B19" s="20"/>
      <c r="C19" s="20" t="s">
        <v>1250</v>
      </c>
      <c r="F19" s="3" t="s">
        <v>6</v>
      </c>
      <c r="J19" s="8" t="b">
        <v>1</v>
      </c>
      <c r="K19" s="10"/>
      <c r="M19" s="8" t="b">
        <v>1</v>
      </c>
      <c r="N19" s="10">
        <v>45712</v>
      </c>
      <c r="P19" s="8" t="b">
        <v>1</v>
      </c>
      <c r="Q19" s="10">
        <v>45735</v>
      </c>
      <c r="S19" s="8" t="b">
        <v>0</v>
      </c>
      <c r="T19" s="3" t="s">
        <v>1249</v>
      </c>
    </row>
    <row r="20" spans="1:21" ht="15.95">
      <c r="A20" s="20"/>
      <c r="B20" s="20"/>
      <c r="C20" s="20" t="s">
        <v>223</v>
      </c>
      <c r="F20" s="3" t="s">
        <v>6</v>
      </c>
      <c r="H20" s="10"/>
      <c r="J20" s="8" t="b">
        <v>1</v>
      </c>
      <c r="K20" s="10"/>
      <c r="M20" s="8" t="b">
        <v>1</v>
      </c>
      <c r="N20" s="10">
        <v>45712</v>
      </c>
      <c r="P20" s="8" t="b">
        <v>1</v>
      </c>
      <c r="Q20" s="10">
        <v>45735</v>
      </c>
      <c r="S20" s="8" t="b">
        <v>0</v>
      </c>
      <c r="T20" s="3" t="s">
        <v>1249</v>
      </c>
    </row>
    <row r="21" spans="1:21" ht="15.95">
      <c r="A21" s="20"/>
      <c r="B21" s="20"/>
      <c r="C21" s="20" t="s">
        <v>565</v>
      </c>
      <c r="F21" s="3" t="s">
        <v>6</v>
      </c>
      <c r="H21" s="10"/>
      <c r="J21" s="8" t="b">
        <v>1</v>
      </c>
      <c r="K21" s="10"/>
      <c r="M21" s="8" t="b">
        <v>1</v>
      </c>
      <c r="N21" s="10">
        <v>45712</v>
      </c>
      <c r="P21" s="8" t="b">
        <v>1</v>
      </c>
      <c r="Q21" s="10">
        <v>45735</v>
      </c>
      <c r="S21" s="8" t="b">
        <v>0</v>
      </c>
      <c r="T21" s="3" t="s">
        <v>1249</v>
      </c>
    </row>
    <row r="22" spans="1:21" ht="15.95">
      <c r="A22" s="20"/>
      <c r="B22" s="20"/>
      <c r="C22" s="20" t="s">
        <v>566</v>
      </c>
      <c r="F22" s="3" t="s">
        <v>6</v>
      </c>
      <c r="J22" s="8" t="b">
        <v>1</v>
      </c>
      <c r="K22" s="10"/>
      <c r="M22" s="8" t="b">
        <v>1</v>
      </c>
      <c r="N22" s="10">
        <v>45712</v>
      </c>
      <c r="P22" s="8" t="b">
        <v>1</v>
      </c>
      <c r="Q22" s="10">
        <v>45735</v>
      </c>
      <c r="S22" s="8" t="b">
        <v>0</v>
      </c>
      <c r="T22" s="3" t="s">
        <v>1249</v>
      </c>
    </row>
    <row r="23" spans="1:21" ht="15.95">
      <c r="A23" s="20"/>
      <c r="B23" s="20"/>
      <c r="C23" s="20" t="s">
        <v>567</v>
      </c>
      <c r="F23" s="3" t="s">
        <v>6</v>
      </c>
      <c r="J23" s="8" t="b">
        <v>1</v>
      </c>
      <c r="K23" s="10"/>
      <c r="M23" s="8" t="b">
        <v>1</v>
      </c>
      <c r="N23" s="10">
        <v>45712</v>
      </c>
      <c r="P23" s="8" t="b">
        <v>1</v>
      </c>
      <c r="Q23" s="10">
        <v>45735</v>
      </c>
      <c r="S23" s="8" t="b">
        <v>0</v>
      </c>
      <c r="T23" s="3" t="s">
        <v>1249</v>
      </c>
    </row>
    <row r="24" spans="1:21" ht="15.95">
      <c r="A24" s="20"/>
      <c r="B24" s="20"/>
      <c r="C24" s="20" t="s">
        <v>568</v>
      </c>
      <c r="F24" s="3" t="s">
        <v>6</v>
      </c>
      <c r="J24" s="8" t="b">
        <v>1</v>
      </c>
      <c r="K24" s="10"/>
      <c r="M24" s="8" t="b">
        <v>1</v>
      </c>
      <c r="N24" s="10">
        <v>45712</v>
      </c>
      <c r="P24" s="8" t="b">
        <v>1</v>
      </c>
      <c r="Q24" s="10">
        <v>45735</v>
      </c>
      <c r="S24" s="8" t="b">
        <v>0</v>
      </c>
      <c r="T24" s="3" t="s">
        <v>1249</v>
      </c>
    </row>
    <row r="25" spans="1:21" ht="15.95">
      <c r="A25" s="20"/>
      <c r="B25" s="20"/>
      <c r="C25" s="20" t="s">
        <v>569</v>
      </c>
      <c r="F25" s="3" t="s">
        <v>6</v>
      </c>
      <c r="H25" s="10"/>
      <c r="J25" s="8" t="b">
        <v>1</v>
      </c>
      <c r="K25" s="10"/>
      <c r="M25" s="8" t="b">
        <v>1</v>
      </c>
      <c r="N25" s="10">
        <v>45712</v>
      </c>
      <c r="P25" s="8" t="b">
        <v>1</v>
      </c>
      <c r="Q25" s="10">
        <v>45735</v>
      </c>
      <c r="S25" s="8" t="b">
        <v>0</v>
      </c>
      <c r="T25" s="3" t="s">
        <v>1249</v>
      </c>
    </row>
    <row r="26" spans="1:21" ht="15.95">
      <c r="A26" s="20"/>
      <c r="B26" s="20"/>
      <c r="C26" s="20" t="s">
        <v>525</v>
      </c>
      <c r="F26" s="3" t="s">
        <v>6</v>
      </c>
      <c r="H26" s="10"/>
      <c r="J26" s="8" t="b">
        <v>1</v>
      </c>
      <c r="K26" s="10"/>
      <c r="M26" s="8" t="b">
        <v>1</v>
      </c>
      <c r="N26" s="10">
        <v>45712</v>
      </c>
      <c r="P26" s="8" t="b">
        <v>1</v>
      </c>
      <c r="Q26" s="10">
        <v>45735</v>
      </c>
      <c r="S26" s="8" t="b">
        <v>0</v>
      </c>
      <c r="T26" s="3" t="s">
        <v>1249</v>
      </c>
    </row>
    <row r="27" spans="1:21" ht="15.95">
      <c r="A27" s="20"/>
      <c r="B27" s="20"/>
      <c r="C27" s="20" t="s">
        <v>810</v>
      </c>
      <c r="F27" s="3" t="s">
        <v>6</v>
      </c>
      <c r="H27" s="10"/>
      <c r="J27" s="8" t="b">
        <v>1</v>
      </c>
      <c r="K27" s="10"/>
      <c r="M27" s="8" t="b">
        <v>1</v>
      </c>
      <c r="N27" s="10">
        <v>45712</v>
      </c>
      <c r="P27" s="8" t="b">
        <v>1</v>
      </c>
      <c r="Q27" s="10">
        <v>45735</v>
      </c>
      <c r="S27" s="8" t="b">
        <v>0</v>
      </c>
      <c r="T27" s="3" t="s">
        <v>1249</v>
      </c>
    </row>
    <row r="28" spans="1:21" ht="15.95">
      <c r="A28" s="20"/>
      <c r="B28" s="20"/>
      <c r="C28" s="20" t="s">
        <v>1251</v>
      </c>
      <c r="F28" s="3" t="s">
        <v>6</v>
      </c>
      <c r="H28" s="10"/>
      <c r="J28" s="8" t="b">
        <v>1</v>
      </c>
      <c r="K28" s="10"/>
      <c r="M28" s="8" t="b">
        <v>1</v>
      </c>
      <c r="N28" s="10">
        <v>45712</v>
      </c>
      <c r="P28" s="8" t="b">
        <v>1</v>
      </c>
      <c r="Q28" s="10">
        <v>45735</v>
      </c>
      <c r="S28" s="8" t="b">
        <v>0</v>
      </c>
      <c r="T28" s="3" t="s">
        <v>1249</v>
      </c>
      <c r="U28" s="3" t="s">
        <v>1252</v>
      </c>
    </row>
    <row r="29" spans="1:21" ht="15.95">
      <c r="A29" s="20"/>
      <c r="B29" s="20"/>
      <c r="C29" s="20" t="s">
        <v>87</v>
      </c>
      <c r="F29" s="3" t="s">
        <v>6</v>
      </c>
      <c r="H29" s="10"/>
      <c r="J29" s="8" t="b">
        <v>1</v>
      </c>
      <c r="K29" s="10"/>
      <c r="M29" s="8" t="b">
        <v>1</v>
      </c>
      <c r="N29" s="10">
        <v>45712</v>
      </c>
      <c r="P29" s="8" t="b">
        <v>1</v>
      </c>
      <c r="Q29" s="10">
        <v>45735</v>
      </c>
      <c r="S29" s="8" t="b">
        <v>0</v>
      </c>
      <c r="T29" s="3" t="s">
        <v>1249</v>
      </c>
    </row>
    <row r="30" spans="1:21" ht="15.95">
      <c r="A30" s="20"/>
      <c r="B30" s="20"/>
      <c r="C30" s="20" t="s">
        <v>572</v>
      </c>
      <c r="F30" s="3" t="s">
        <v>6</v>
      </c>
      <c r="H30" s="10"/>
      <c r="J30" s="8" t="b">
        <v>1</v>
      </c>
      <c r="K30" s="10"/>
      <c r="M30" s="8" t="b">
        <v>1</v>
      </c>
      <c r="N30" s="10">
        <v>45712</v>
      </c>
      <c r="P30" s="8" t="b">
        <v>1</v>
      </c>
      <c r="Q30" s="10">
        <v>45735</v>
      </c>
      <c r="S30" s="8" t="b">
        <v>0</v>
      </c>
      <c r="T30" s="3" t="s">
        <v>1249</v>
      </c>
    </row>
    <row r="31" spans="1:21" ht="15.95">
      <c r="A31" s="20"/>
      <c r="B31" s="20"/>
      <c r="C31" s="20" t="s">
        <v>471</v>
      </c>
      <c r="F31" s="3" t="s">
        <v>6</v>
      </c>
      <c r="H31" s="10"/>
      <c r="J31" s="8" t="b">
        <v>1</v>
      </c>
      <c r="K31" s="10"/>
      <c r="M31" s="8" t="b">
        <v>1</v>
      </c>
      <c r="N31" s="10">
        <v>45712</v>
      </c>
      <c r="P31" s="8" t="b">
        <v>1</v>
      </c>
      <c r="Q31" s="10">
        <v>45735</v>
      </c>
      <c r="S31" s="8" t="b">
        <v>0</v>
      </c>
      <c r="T31" s="3" t="s">
        <v>1249</v>
      </c>
    </row>
    <row r="32" spans="1:21" ht="15.95">
      <c r="A32" s="20"/>
      <c r="B32" s="20"/>
      <c r="C32" s="20" t="s">
        <v>573</v>
      </c>
      <c r="F32" s="3" t="s">
        <v>6</v>
      </c>
      <c r="H32" s="10"/>
      <c r="J32" s="8" t="b">
        <v>1</v>
      </c>
      <c r="K32" s="10"/>
      <c r="M32" s="8" t="b">
        <v>1</v>
      </c>
      <c r="N32" s="10">
        <v>45712</v>
      </c>
      <c r="P32" s="8" t="b">
        <v>1</v>
      </c>
      <c r="Q32" s="10">
        <v>45735</v>
      </c>
      <c r="S32" s="8" t="b">
        <v>0</v>
      </c>
      <c r="T32" s="3" t="s">
        <v>1249</v>
      </c>
    </row>
    <row r="33" spans="1:21" ht="15.95">
      <c r="A33" s="20"/>
      <c r="B33" s="20"/>
      <c r="C33" s="20" t="s">
        <v>574</v>
      </c>
      <c r="F33" s="3" t="s">
        <v>6</v>
      </c>
      <c r="H33" s="10"/>
      <c r="J33" s="8" t="b">
        <v>1</v>
      </c>
      <c r="K33" s="10"/>
      <c r="M33" s="8" t="b">
        <v>1</v>
      </c>
      <c r="N33" s="10">
        <v>45712</v>
      </c>
      <c r="P33" s="8" t="b">
        <v>1</v>
      </c>
      <c r="Q33" s="10">
        <v>45735</v>
      </c>
      <c r="S33" s="8" t="b">
        <v>0</v>
      </c>
      <c r="T33" s="3" t="s">
        <v>1249</v>
      </c>
    </row>
    <row r="34" spans="1:21" ht="15.95">
      <c r="A34" s="20"/>
      <c r="B34" s="20"/>
      <c r="C34" s="20" t="s">
        <v>391</v>
      </c>
      <c r="F34" s="3" t="s">
        <v>6</v>
      </c>
      <c r="H34" s="10"/>
      <c r="J34" s="8" t="b">
        <v>1</v>
      </c>
      <c r="K34" s="10"/>
      <c r="M34" s="8" t="b">
        <v>1</v>
      </c>
      <c r="N34" s="10">
        <v>45712</v>
      </c>
      <c r="P34" s="8" t="b">
        <v>1</v>
      </c>
      <c r="Q34" s="10">
        <v>45735</v>
      </c>
      <c r="S34" s="8" t="b">
        <v>0</v>
      </c>
      <c r="T34" s="3" t="s">
        <v>1249</v>
      </c>
      <c r="U34" s="3" t="s">
        <v>1252</v>
      </c>
    </row>
    <row r="35" spans="1:21" ht="15.95">
      <c r="A35" s="20"/>
      <c r="B35" s="20"/>
      <c r="C35" s="20"/>
      <c r="H35" s="10"/>
      <c r="N35" s="10"/>
      <c r="P35" s="1"/>
      <c r="S35" s="1"/>
    </row>
    <row r="36" spans="1:21" ht="15.95">
      <c r="A36" s="20" t="s">
        <v>324</v>
      </c>
      <c r="B36" s="20"/>
      <c r="C36" s="20" t="s">
        <v>575</v>
      </c>
      <c r="J36" s="8" t="b">
        <v>0</v>
      </c>
      <c r="K36" s="10"/>
      <c r="M36" s="8" t="b">
        <v>0</v>
      </c>
      <c r="N36" s="10"/>
      <c r="P36" s="8" t="b">
        <v>0</v>
      </c>
      <c r="S36" s="8" t="b">
        <v>0</v>
      </c>
    </row>
    <row r="37" spans="1:21" ht="15.95">
      <c r="A37" s="20"/>
      <c r="B37" s="20"/>
      <c r="C37" s="20"/>
      <c r="J37" s="1"/>
      <c r="M37" s="1"/>
    </row>
    <row r="38" spans="1:21" ht="15.95">
      <c r="A38" s="20"/>
      <c r="B38" s="20"/>
      <c r="C38" s="20"/>
      <c r="J38" s="18"/>
      <c r="M38" s="18"/>
      <c r="P38" s="18"/>
      <c r="S38" s="18"/>
    </row>
    <row r="39" spans="1:21" ht="15.95">
      <c r="A39" s="20"/>
      <c r="B39" s="20"/>
      <c r="C39" s="20"/>
      <c r="J39" s="18"/>
      <c r="M39" s="18"/>
      <c r="P39" s="18"/>
      <c r="S39" s="18"/>
    </row>
    <row r="40" spans="1:21" ht="15.95">
      <c r="A40" s="20" t="s">
        <v>407</v>
      </c>
      <c r="B40" s="20"/>
      <c r="C40" s="20" t="s">
        <v>576</v>
      </c>
      <c r="E40" s="13">
        <v>1688.09</v>
      </c>
      <c r="F40" s="3" t="s">
        <v>138</v>
      </c>
      <c r="J40" s="8" t="b">
        <v>1</v>
      </c>
      <c r="K40" s="10">
        <v>45717</v>
      </c>
      <c r="M40" s="8" t="b">
        <v>1</v>
      </c>
      <c r="N40" s="10">
        <v>45717</v>
      </c>
      <c r="P40" s="8" t="b">
        <v>0</v>
      </c>
      <c r="S40" s="8" t="b">
        <v>0</v>
      </c>
    </row>
    <row r="41" spans="1:21" ht="15.95">
      <c r="A41" s="20"/>
      <c r="B41" s="20"/>
      <c r="C41" s="21"/>
      <c r="J41" s="1"/>
      <c r="K41" s="10"/>
      <c r="M41" s="1"/>
      <c r="P41" s="1"/>
      <c r="S41" s="1"/>
    </row>
    <row r="42" spans="1:21" ht="15.95">
      <c r="A42" s="20"/>
      <c r="B42" s="20"/>
      <c r="C42" s="20"/>
      <c r="J42" s="1"/>
      <c r="K42" s="10"/>
      <c r="M42" s="1"/>
      <c r="P42" s="1"/>
      <c r="S42" s="1"/>
    </row>
    <row r="43" spans="1:21" ht="15.95">
      <c r="A43" s="20" t="s">
        <v>411</v>
      </c>
      <c r="B43" s="20"/>
      <c r="C43" s="20" t="s">
        <v>578</v>
      </c>
      <c r="E43" s="13">
        <f>980+ 350</f>
        <v>1330</v>
      </c>
      <c r="J43" s="8" t="b">
        <v>1</v>
      </c>
      <c r="K43" s="10"/>
      <c r="M43" s="8" t="b">
        <v>1</v>
      </c>
      <c r="N43" s="10">
        <v>45725</v>
      </c>
      <c r="P43" s="8" t="b">
        <v>0</v>
      </c>
      <c r="S43" s="8" t="b">
        <v>0</v>
      </c>
    </row>
    <row r="44" spans="1:21" ht="15.95">
      <c r="A44" s="20"/>
      <c r="B44" s="20"/>
      <c r="C44" s="20"/>
      <c r="J44" s="1"/>
      <c r="K44" s="10"/>
      <c r="M44" s="1"/>
      <c r="P44" s="1"/>
      <c r="S44" s="1"/>
    </row>
    <row r="45" spans="1:21" ht="15.95">
      <c r="A45" s="20" t="s">
        <v>543</v>
      </c>
      <c r="B45" s="20"/>
      <c r="C45" s="20" t="s">
        <v>1253</v>
      </c>
      <c r="E45" s="13">
        <v>1094.28</v>
      </c>
      <c r="F45" s="3" t="s">
        <v>138</v>
      </c>
      <c r="J45" s="8" t="b">
        <v>1</v>
      </c>
      <c r="K45" s="10">
        <v>45717</v>
      </c>
      <c r="M45" s="8" t="b">
        <v>1</v>
      </c>
      <c r="N45" s="10">
        <v>45720</v>
      </c>
      <c r="P45" s="8" t="b">
        <v>0</v>
      </c>
      <c r="S45" s="8" t="b">
        <v>0</v>
      </c>
    </row>
    <row r="46" spans="1:21" ht="15.95">
      <c r="A46" s="20"/>
      <c r="B46" s="20"/>
      <c r="C46" s="20" t="s">
        <v>1254</v>
      </c>
      <c r="F46" s="3" t="s">
        <v>138</v>
      </c>
      <c r="J46" s="8" t="b">
        <v>1</v>
      </c>
      <c r="K46" s="10">
        <v>45717</v>
      </c>
      <c r="M46" s="8" t="b">
        <v>1</v>
      </c>
      <c r="N46" s="10">
        <v>45720</v>
      </c>
      <c r="P46" s="8" t="b">
        <v>0</v>
      </c>
      <c r="S46" s="8" t="b">
        <v>0</v>
      </c>
    </row>
    <row r="47" spans="1:21" ht="15.95">
      <c r="A47" s="20"/>
      <c r="B47" s="20"/>
      <c r="C47" s="20" t="s">
        <v>1255</v>
      </c>
      <c r="J47" s="8" t="b">
        <v>0</v>
      </c>
      <c r="K47" s="10"/>
      <c r="M47" s="8" t="b">
        <v>0</v>
      </c>
      <c r="P47" s="8" t="b">
        <v>0</v>
      </c>
      <c r="S47" s="8" t="b">
        <v>0</v>
      </c>
    </row>
    <row r="48" spans="1:21" ht="15.95">
      <c r="A48" s="20"/>
      <c r="B48" s="20"/>
      <c r="C48" s="20" t="s">
        <v>1256</v>
      </c>
      <c r="J48" s="8" t="b">
        <v>0</v>
      </c>
      <c r="K48" s="10"/>
      <c r="M48" s="8" t="b">
        <v>0</v>
      </c>
      <c r="P48" s="8" t="b">
        <v>0</v>
      </c>
      <c r="S48" s="8" t="b">
        <v>0</v>
      </c>
    </row>
    <row r="49" spans="1:19" ht="15.95">
      <c r="A49" s="20"/>
      <c r="B49" s="20"/>
      <c r="C49" s="20" t="s">
        <v>1257</v>
      </c>
      <c r="E49" s="13">
        <v>379.93</v>
      </c>
      <c r="J49" s="1"/>
      <c r="K49" s="10"/>
      <c r="M49" s="1"/>
      <c r="P49" s="1"/>
      <c r="S49" s="1"/>
    </row>
    <row r="50" spans="1:19" ht="15.95">
      <c r="A50" s="20"/>
      <c r="B50" s="20"/>
      <c r="C50" s="20"/>
      <c r="J50" s="1"/>
      <c r="K50" s="10"/>
      <c r="M50" s="1"/>
      <c r="P50" s="1"/>
      <c r="S50" s="1"/>
    </row>
    <row r="51" spans="1:19" ht="15.95">
      <c r="A51" s="20"/>
      <c r="B51" s="20"/>
      <c r="C51" s="20"/>
      <c r="J51" s="1"/>
      <c r="K51" s="10"/>
      <c r="M51" s="1"/>
      <c r="P51" s="1"/>
      <c r="S51" s="1"/>
    </row>
    <row r="52" spans="1:19" ht="15.95">
      <c r="A52" s="20" t="s">
        <v>377</v>
      </c>
      <c r="B52" s="20"/>
      <c r="C52" s="20" t="s">
        <v>1258</v>
      </c>
      <c r="F52" s="22" t="s">
        <v>1194</v>
      </c>
      <c r="J52" s="18"/>
      <c r="M52" s="18"/>
      <c r="P52" s="18"/>
      <c r="S52" s="18"/>
    </row>
    <row r="53" spans="1:19" ht="15.95">
      <c r="A53" s="20"/>
      <c r="B53" s="20"/>
      <c r="C53" s="20"/>
      <c r="J53" s="18"/>
      <c r="M53" s="18"/>
      <c r="P53" s="18"/>
      <c r="S53" s="18"/>
    </row>
    <row r="54" spans="1:19" s="15" customFormat="1" ht="15.95">
      <c r="A54" s="31" t="s">
        <v>498</v>
      </c>
      <c r="B54" s="31"/>
      <c r="C54" s="31" t="s">
        <v>1259</v>
      </c>
      <c r="E54" s="33">
        <v>311.97000000000003</v>
      </c>
      <c r="F54" s="15" t="s">
        <v>12</v>
      </c>
      <c r="J54" s="34"/>
      <c r="K54" s="35"/>
      <c r="M54" s="34"/>
      <c r="P54" s="34"/>
      <c r="S54" s="34"/>
    </row>
    <row r="55" spans="1:19" s="15" customFormat="1" ht="15.95">
      <c r="A55" s="31"/>
      <c r="B55" s="31"/>
      <c r="C55" s="31" t="s">
        <v>1260</v>
      </c>
      <c r="E55" s="33"/>
      <c r="J55" s="34"/>
      <c r="M55" s="34"/>
      <c r="P55" s="34"/>
      <c r="S55" s="34"/>
    </row>
    <row r="56" spans="1:19" s="5" customFormat="1" ht="15.95">
      <c r="B56" s="4"/>
      <c r="E56" s="11"/>
      <c r="I56" s="3"/>
      <c r="J56" s="1"/>
      <c r="K56" s="3"/>
      <c r="M56" s="1"/>
      <c r="P56" s="1"/>
      <c r="S56" s="1"/>
    </row>
    <row r="57" spans="1:19" s="5" customFormat="1" ht="15.95">
      <c r="B57" s="4"/>
      <c r="E57" s="11"/>
      <c r="I57" s="3"/>
      <c r="J57" s="1"/>
      <c r="K57" s="3"/>
      <c r="M57" s="1"/>
      <c r="P57" s="1"/>
      <c r="S57" s="1"/>
    </row>
    <row r="58" spans="1:19" s="5" customFormat="1" ht="15.95">
      <c r="B58" s="1"/>
      <c r="C58" s="3"/>
      <c r="E58" s="11">
        <f>SUM(E2:E57)</f>
        <v>9235.94</v>
      </c>
      <c r="I58" s="3"/>
      <c r="J58" s="1"/>
      <c r="K58" s="3"/>
      <c r="M58" s="1"/>
      <c r="P58" s="1"/>
      <c r="S58" s="1"/>
    </row>
    <row r="59" spans="1:19" s="5" customFormat="1" ht="15.95">
      <c r="B59" s="1"/>
      <c r="C59" s="3"/>
      <c r="E59" s="11"/>
      <c r="I59" s="3"/>
      <c r="J59" s="1"/>
      <c r="K59" s="3"/>
      <c r="M59" s="1"/>
      <c r="P59" s="1"/>
      <c r="S59" s="1"/>
    </row>
    <row r="60" spans="1:19" s="5" customFormat="1" ht="15.95">
      <c r="B60" s="1"/>
      <c r="C60" s="3"/>
      <c r="E60" s="11"/>
      <c r="I60" s="3"/>
      <c r="J60" s="1"/>
      <c r="K60" s="3"/>
      <c r="M60" s="1"/>
      <c r="P60" s="1"/>
      <c r="S60" s="1"/>
    </row>
    <row r="61" spans="1:19" s="5" customFormat="1" ht="15.95">
      <c r="B61" s="1"/>
      <c r="C61" s="3"/>
      <c r="E61" s="11"/>
      <c r="I61" s="3"/>
      <c r="J61" s="1"/>
      <c r="K61" s="3"/>
      <c r="M61" s="1"/>
      <c r="P61" s="1"/>
      <c r="S61" s="1"/>
    </row>
    <row r="62" spans="1:19" ht="15.95">
      <c r="B62" s="1"/>
      <c r="J62" s="1"/>
      <c r="M62" s="1"/>
      <c r="P62" s="1"/>
      <c r="S62" s="1"/>
    </row>
    <row r="63" spans="1:19" ht="15.95">
      <c r="B63" s="1"/>
      <c r="J63" s="1"/>
      <c r="M63" s="1"/>
      <c r="P63" s="1"/>
      <c r="S63" s="1"/>
    </row>
    <row r="64" spans="1:19" ht="15.95">
      <c r="B64" s="1"/>
      <c r="J64" s="1"/>
      <c r="M64" s="1"/>
      <c r="P64" s="1"/>
      <c r="S64" s="1"/>
    </row>
    <row r="65" spans="2:19" ht="15.95">
      <c r="B65" s="1"/>
      <c r="J65" s="1"/>
      <c r="M65" s="1"/>
      <c r="P65" s="1"/>
      <c r="S65" s="1"/>
    </row>
    <row r="66" spans="2:19" ht="15.95">
      <c r="B66" s="1"/>
      <c r="J66" s="1"/>
      <c r="M66" s="1"/>
      <c r="P66" s="1"/>
      <c r="S66" s="1"/>
    </row>
    <row r="67" spans="2:19" ht="15.95">
      <c r="B67" s="18"/>
      <c r="J67" s="1"/>
      <c r="M67" s="1"/>
      <c r="P67" s="1"/>
      <c r="S67" s="1"/>
    </row>
    <row r="68" spans="2:19" ht="15.95">
      <c r="B68" s="1"/>
      <c r="I68" s="5"/>
      <c r="J68" s="1"/>
      <c r="K68" s="5"/>
      <c r="M68" s="1"/>
      <c r="P68" s="1"/>
      <c r="S68" s="1"/>
    </row>
    <row r="69" spans="2:19" ht="15.95">
      <c r="B69" s="1"/>
      <c r="I69" s="5"/>
      <c r="J69" s="1"/>
      <c r="K69" s="5"/>
      <c r="M69" s="1"/>
      <c r="P69" s="1"/>
      <c r="S69" s="1"/>
    </row>
    <row r="70" spans="2:19" ht="15.95">
      <c r="B70" s="1"/>
      <c r="I70" s="5"/>
      <c r="J70" s="1"/>
      <c r="K70" s="5"/>
      <c r="M70" s="1"/>
      <c r="P70" s="1"/>
      <c r="S70" s="1"/>
    </row>
    <row r="71" spans="2:19" ht="15.95">
      <c r="B71" s="1"/>
      <c r="I71" s="5"/>
      <c r="J71" s="1"/>
      <c r="K71" s="5"/>
      <c r="M71" s="1"/>
      <c r="P71" s="1"/>
      <c r="S71" s="1"/>
    </row>
    <row r="72" spans="2:19" ht="15.95">
      <c r="B72" s="1"/>
      <c r="J72" s="1"/>
      <c r="M72" s="1"/>
      <c r="P72" s="1"/>
      <c r="S72" s="1"/>
    </row>
    <row r="73" spans="2:19" ht="15.95">
      <c r="B73" s="1"/>
      <c r="J73" s="2"/>
      <c r="M73" s="2"/>
      <c r="P73" s="2"/>
      <c r="S73" s="2"/>
    </row>
    <row r="74" spans="2:19" s="5" customFormat="1" ht="15.95">
      <c r="B74" s="4"/>
      <c r="E74" s="11"/>
      <c r="J74" s="14"/>
      <c r="M74" s="14"/>
      <c r="P74" s="14"/>
      <c r="S74" s="14"/>
    </row>
    <row r="75" spans="2:19" s="5" customFormat="1" ht="15.95">
      <c r="B75" s="4"/>
      <c r="E75" s="11"/>
      <c r="I75" s="3"/>
      <c r="J75" s="2"/>
      <c r="K75" s="3"/>
      <c r="M75" s="2"/>
      <c r="P75" s="2"/>
      <c r="S75" s="2"/>
    </row>
    <row r="76" spans="2:19" s="5" customFormat="1" ht="15.95">
      <c r="B76" s="1"/>
      <c r="C76" s="3"/>
      <c r="E76" s="11"/>
      <c r="J76" s="4"/>
      <c r="M76" s="4"/>
      <c r="P76" s="4"/>
      <c r="S76" s="4"/>
    </row>
    <row r="77" spans="2:19" s="5" customFormat="1" ht="15.95">
      <c r="B77" s="1"/>
      <c r="C77" s="3"/>
      <c r="E77" s="11"/>
      <c r="J77" s="4"/>
      <c r="M77" s="4"/>
      <c r="P77" s="4"/>
      <c r="S77" s="4"/>
    </row>
    <row r="78" spans="2:19" ht="15.95">
      <c r="B78" s="1"/>
      <c r="I78" s="5"/>
      <c r="J78" s="4"/>
      <c r="K78" s="5"/>
      <c r="M78" s="4"/>
      <c r="P78" s="4"/>
      <c r="S78" s="4"/>
    </row>
    <row r="79" spans="2:19" ht="15.95">
      <c r="B79" s="1"/>
      <c r="I79" s="5"/>
      <c r="J79" s="1"/>
      <c r="K79" s="5"/>
      <c r="M79" s="1"/>
      <c r="P79" s="1"/>
      <c r="S79" s="1"/>
    </row>
    <row r="80" spans="2:19" ht="15.95">
      <c r="B80" s="1"/>
      <c r="I80" s="5"/>
      <c r="J80" s="1"/>
      <c r="K80" s="5"/>
      <c r="M80" s="1"/>
      <c r="P80" s="1"/>
      <c r="S80" s="1"/>
    </row>
    <row r="81" spans="2:19" ht="15.95">
      <c r="B81" s="1"/>
      <c r="J81" s="1"/>
      <c r="M81" s="1"/>
      <c r="P81" s="1"/>
      <c r="S81" s="1"/>
    </row>
    <row r="82" spans="2:19" ht="15.95">
      <c r="B82" s="1"/>
      <c r="J82" s="1"/>
      <c r="M82" s="1"/>
      <c r="P82" s="1"/>
      <c r="S82" s="1"/>
    </row>
    <row r="83" spans="2:19" ht="15.95">
      <c r="B83" s="1"/>
      <c r="J83" s="1"/>
      <c r="M83" s="1"/>
      <c r="P83" s="1"/>
      <c r="S83" s="1"/>
    </row>
    <row r="84" spans="2:19" ht="15.95">
      <c r="B84" s="1"/>
      <c r="J84" s="1"/>
      <c r="M84" s="1"/>
      <c r="P84" s="1"/>
      <c r="S84" s="1"/>
    </row>
    <row r="85" spans="2:19" ht="15.95">
      <c r="B85" s="1"/>
      <c r="J85" s="1"/>
      <c r="M85" s="1"/>
      <c r="P85" s="1"/>
      <c r="S85" s="1"/>
    </row>
    <row r="86" spans="2:19" ht="15.95">
      <c r="B86" s="1"/>
      <c r="J86" s="1"/>
      <c r="M86" s="1"/>
      <c r="P86" s="1"/>
      <c r="S86" s="1"/>
    </row>
    <row r="87" spans="2:19" ht="15.95">
      <c r="B87" s="1"/>
      <c r="J87" s="1"/>
      <c r="M87" s="1"/>
      <c r="P87" s="1"/>
      <c r="S87" s="1"/>
    </row>
    <row r="88" spans="2:19" ht="15.95">
      <c r="B88" s="1"/>
      <c r="J88" s="1"/>
      <c r="M88" s="1"/>
      <c r="P88" s="1"/>
      <c r="S88" s="1"/>
    </row>
    <row r="89" spans="2:19" ht="15.95">
      <c r="J89" s="1"/>
      <c r="M89" s="1"/>
      <c r="P89" s="1"/>
      <c r="S89" s="1"/>
    </row>
    <row r="90" spans="2:19" ht="15.95">
      <c r="J90" s="1"/>
      <c r="M90" s="1"/>
      <c r="P90" s="1"/>
      <c r="S90" s="1"/>
    </row>
    <row r="91" spans="2:19" ht="15.95">
      <c r="J91" s="1"/>
      <c r="M91" s="1"/>
      <c r="P91" s="1"/>
      <c r="S91" s="1"/>
    </row>
  </sheetData>
  <pageMargins left="0.7" right="0.7" top="0.75" bottom="0.75" header="0.3" footer="0.3"/>
  <pageSetup orientation="portrait" horizontalDpi="203" verticalDpi="203"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2C0D-2869-4F3C-ABBD-623246DBB51F}">
  <dimension ref="A1:Y70"/>
  <sheetViews>
    <sheetView workbookViewId="0">
      <pane ySplit="2" topLeftCell="A7" activePane="bottomLeft" state="frozen"/>
      <selection pane="bottomLeft" activeCell="A7" sqref="A7"/>
    </sheetView>
  </sheetViews>
  <sheetFormatPr defaultColWidth="8.85546875" defaultRowHeight="15.95"/>
  <cols>
    <col min="1" max="1" width="12.7109375" style="3" customWidth="1"/>
    <col min="2" max="2" width="8.85546875" style="3"/>
    <col min="3" max="3" width="60.28515625" style="3" customWidth="1"/>
    <col min="4" max="4" width="1.5703125" style="3" customWidth="1"/>
    <col min="5" max="5" width="14.5703125" style="13" customWidth="1"/>
    <col min="6" max="6" width="2.140625" style="3" customWidth="1"/>
    <col min="7" max="7" width="14.5703125" style="13" customWidth="1"/>
    <col min="8" max="8" width="2.140625" style="3" customWidth="1"/>
    <col min="9" max="9" width="26.5703125" style="3" customWidth="1"/>
    <col min="10" max="10" width="2.42578125" style="3" customWidth="1"/>
    <col min="11" max="11" width="13.7109375" style="3" customWidth="1"/>
    <col min="12" max="12" width="2.42578125" style="3" customWidth="1"/>
    <col min="13" max="13" width="8.85546875" style="3"/>
    <col min="14" max="14" width="13.7109375" style="3" customWidth="1"/>
    <col min="15" max="15" width="2.7109375" style="3" customWidth="1"/>
    <col min="16" max="16" width="8.85546875" style="3"/>
    <col min="17" max="17" width="13.7109375" style="3" customWidth="1"/>
    <col min="18" max="18" width="2.7109375" style="3" customWidth="1"/>
    <col min="19" max="19" width="8.85546875" style="3"/>
    <col min="20" max="20" width="11.42578125" style="3" customWidth="1"/>
    <col min="21" max="21" width="2.140625" style="3" customWidth="1"/>
    <col min="22" max="22" width="8.85546875" style="3"/>
    <col min="23" max="23" width="11.42578125" style="3" customWidth="1"/>
    <col min="24" max="24" width="32.5703125" style="3" customWidth="1"/>
    <col min="25" max="25" width="21.42578125" style="3" customWidth="1"/>
    <col min="26" max="16384" width="8.85546875" style="3"/>
  </cols>
  <sheetData>
    <row r="1" spans="1:25" s="5" customFormat="1">
      <c r="A1" s="4" t="s">
        <v>402</v>
      </c>
      <c r="E1" s="11"/>
      <c r="G1" s="11"/>
      <c r="M1" s="4"/>
      <c r="P1" s="4"/>
      <c r="S1" s="4"/>
      <c r="V1" s="4"/>
    </row>
    <row r="2" spans="1:25" s="5" customFormat="1" ht="47.65">
      <c r="B2" s="4"/>
      <c r="C2" s="5" t="s">
        <v>1261</v>
      </c>
      <c r="E2" s="12" t="s">
        <v>111</v>
      </c>
      <c r="G2" s="12" t="s">
        <v>68</v>
      </c>
      <c r="I2" s="6" t="s">
        <v>5</v>
      </c>
      <c r="J2" s="6"/>
      <c r="K2" s="7" t="s">
        <v>591</v>
      </c>
      <c r="L2" s="6"/>
      <c r="M2" s="17"/>
      <c r="N2" s="7" t="s">
        <v>193</v>
      </c>
      <c r="P2" s="17"/>
      <c r="Q2" s="7" t="s">
        <v>69</v>
      </c>
      <c r="S2" s="17"/>
      <c r="T2" s="7" t="s">
        <v>70</v>
      </c>
      <c r="V2" s="17"/>
      <c r="W2" s="7" t="s">
        <v>71</v>
      </c>
      <c r="X2" s="5" t="s">
        <v>1262</v>
      </c>
    </row>
    <row r="3" spans="1:25" s="5" customFormat="1">
      <c r="A3" s="4" t="s">
        <v>73</v>
      </c>
      <c r="E3" s="11"/>
      <c r="G3" s="11"/>
    </row>
    <row r="4" spans="1:25">
      <c r="B4" s="1"/>
      <c r="M4" s="1"/>
      <c r="P4" s="1"/>
      <c r="S4" s="1"/>
      <c r="V4" s="1"/>
    </row>
    <row r="5" spans="1:25">
      <c r="B5" s="8" t="b">
        <v>1</v>
      </c>
      <c r="C5" s="3" t="s">
        <v>1263</v>
      </c>
      <c r="E5" s="13">
        <v>150</v>
      </c>
      <c r="G5" s="13">
        <v>240</v>
      </c>
      <c r="I5" s="3" t="s">
        <v>1264</v>
      </c>
      <c r="M5" s="8" t="b">
        <v>0</v>
      </c>
      <c r="P5" s="8" t="b">
        <v>0</v>
      </c>
      <c r="S5" s="8" t="b">
        <v>0</v>
      </c>
      <c r="V5" s="8" t="b">
        <v>0</v>
      </c>
    </row>
    <row r="6" spans="1:25">
      <c r="B6" s="8" t="b">
        <v>0</v>
      </c>
      <c r="C6" s="3" t="s">
        <v>562</v>
      </c>
      <c r="M6" s="8" t="b">
        <v>0</v>
      </c>
      <c r="P6" s="8" t="b">
        <v>0</v>
      </c>
      <c r="S6" s="8" t="b">
        <v>0</v>
      </c>
      <c r="V6" s="8" t="b">
        <v>0</v>
      </c>
    </row>
    <row r="7" spans="1:25">
      <c r="A7" s="3" t="s">
        <v>677</v>
      </c>
      <c r="B7" s="8" t="b">
        <v>1</v>
      </c>
      <c r="C7" s="3" t="s">
        <v>1265</v>
      </c>
      <c r="E7" s="13">
        <v>700</v>
      </c>
      <c r="G7" s="13">
        <v>430.84</v>
      </c>
      <c r="I7" s="3" t="s">
        <v>1266</v>
      </c>
      <c r="M7" s="8" t="b">
        <v>1</v>
      </c>
      <c r="N7" s="10">
        <v>45725</v>
      </c>
      <c r="P7" s="8" t="b">
        <v>1</v>
      </c>
      <c r="Q7" s="10">
        <v>45725</v>
      </c>
      <c r="S7" s="8" t="b">
        <v>0</v>
      </c>
      <c r="T7" s="10">
        <v>45742</v>
      </c>
      <c r="V7" s="8" t="b">
        <v>1</v>
      </c>
      <c r="W7" s="3" t="s">
        <v>1267</v>
      </c>
    </row>
    <row r="8" spans="1:25">
      <c r="B8" s="8" t="b">
        <v>1</v>
      </c>
      <c r="C8" s="3" t="s">
        <v>1268</v>
      </c>
      <c r="I8" s="3" t="s">
        <v>1266</v>
      </c>
      <c r="M8" s="8" t="b">
        <v>1</v>
      </c>
      <c r="N8" s="10">
        <v>45725</v>
      </c>
      <c r="P8" s="8" t="b">
        <v>1</v>
      </c>
      <c r="Q8" s="10">
        <v>45725</v>
      </c>
      <c r="S8" s="8" t="b">
        <v>0</v>
      </c>
      <c r="T8" s="10">
        <v>45742</v>
      </c>
      <c r="V8" s="8" t="b">
        <v>1</v>
      </c>
      <c r="W8" s="3" t="s">
        <v>1267</v>
      </c>
    </row>
    <row r="9" spans="1:25">
      <c r="B9" s="8" t="b">
        <v>1</v>
      </c>
      <c r="C9" s="3" t="s">
        <v>1269</v>
      </c>
      <c r="M9" s="8" t="b">
        <v>0</v>
      </c>
      <c r="P9" s="8" t="b">
        <v>0</v>
      </c>
      <c r="S9" s="8" t="b">
        <v>0</v>
      </c>
      <c r="T9" s="10">
        <v>45742</v>
      </c>
      <c r="V9" s="8" t="b">
        <v>1</v>
      </c>
      <c r="W9" s="3" t="s">
        <v>1267</v>
      </c>
      <c r="Y9" s="3" t="s">
        <v>1270</v>
      </c>
    </row>
    <row r="10" spans="1:25">
      <c r="B10" s="8" t="b">
        <v>0</v>
      </c>
      <c r="C10" s="3" t="s">
        <v>1271</v>
      </c>
      <c r="M10" s="8" t="b">
        <v>0</v>
      </c>
      <c r="P10" s="8" t="b">
        <v>0</v>
      </c>
      <c r="S10" s="8" t="b">
        <v>0</v>
      </c>
      <c r="V10" s="8" t="b">
        <v>0</v>
      </c>
    </row>
    <row r="11" spans="1:25">
      <c r="B11" s="8" t="b">
        <v>0</v>
      </c>
      <c r="C11" s="3" t="s">
        <v>1272</v>
      </c>
      <c r="M11" s="8" t="b">
        <v>0</v>
      </c>
      <c r="P11" s="8" t="b">
        <v>0</v>
      </c>
      <c r="S11" s="8" t="b">
        <v>0</v>
      </c>
      <c r="V11" s="8" t="b">
        <v>0</v>
      </c>
    </row>
    <row r="12" spans="1:25">
      <c r="B12" s="8" t="b">
        <v>0</v>
      </c>
      <c r="M12" s="8" t="b">
        <v>0</v>
      </c>
      <c r="P12" s="8" t="b">
        <v>0</v>
      </c>
      <c r="S12" s="8" t="b">
        <v>0</v>
      </c>
      <c r="V12" s="8" t="b">
        <v>0</v>
      </c>
    </row>
    <row r="13" spans="1:25">
      <c r="B13" s="1"/>
      <c r="M13" s="1"/>
      <c r="P13" s="1"/>
      <c r="S13" s="1"/>
      <c r="V13" s="1"/>
    </row>
    <row r="14" spans="1:25">
      <c r="A14" s="3" t="s">
        <v>324</v>
      </c>
      <c r="B14" s="8" t="b">
        <v>0</v>
      </c>
      <c r="C14" s="3" t="s">
        <v>1273</v>
      </c>
      <c r="E14" s="13">
        <v>100</v>
      </c>
      <c r="G14" s="13">
        <v>100</v>
      </c>
      <c r="M14" s="8" t="b">
        <v>0</v>
      </c>
      <c r="N14" s="10"/>
      <c r="P14" s="8" t="b">
        <v>0</v>
      </c>
      <c r="S14" s="8" t="b">
        <v>0</v>
      </c>
      <c r="V14" s="8" t="b">
        <v>0</v>
      </c>
    </row>
    <row r="15" spans="1:25">
      <c r="B15" s="8" t="b">
        <v>0</v>
      </c>
      <c r="C15" s="3" t="s">
        <v>1274</v>
      </c>
      <c r="M15" s="8" t="b">
        <v>0</v>
      </c>
      <c r="N15" s="10"/>
      <c r="P15" s="8" t="b">
        <v>0</v>
      </c>
      <c r="S15" s="8" t="b">
        <v>0</v>
      </c>
      <c r="V15" s="8" t="b">
        <v>0</v>
      </c>
    </row>
    <row r="16" spans="1:25">
      <c r="B16" s="1"/>
      <c r="M16" s="8" t="b">
        <v>0</v>
      </c>
      <c r="N16" s="10"/>
      <c r="P16" s="8" t="b">
        <v>0</v>
      </c>
      <c r="S16" s="8" t="b">
        <v>0</v>
      </c>
      <c r="V16" s="8" t="b">
        <v>0</v>
      </c>
    </row>
    <row r="17" spans="1:23">
      <c r="B17" s="1"/>
      <c r="M17" s="1"/>
      <c r="N17" s="10"/>
      <c r="P17" s="1"/>
      <c r="S17" s="1"/>
      <c r="V17" s="1"/>
    </row>
    <row r="18" spans="1:23">
      <c r="A18" s="3" t="s">
        <v>407</v>
      </c>
      <c r="B18" s="8" t="b">
        <v>1</v>
      </c>
      <c r="C18" s="3" t="s">
        <v>1275</v>
      </c>
      <c r="E18" s="13">
        <v>22000</v>
      </c>
      <c r="G18" s="13">
        <v>25835.8</v>
      </c>
      <c r="I18" s="3" t="s">
        <v>138</v>
      </c>
      <c r="K18" s="10"/>
      <c r="M18" s="8" t="b">
        <v>1</v>
      </c>
      <c r="N18" s="10">
        <v>45682</v>
      </c>
      <c r="P18" s="8" t="b">
        <v>1</v>
      </c>
      <c r="Q18" s="10">
        <v>45687</v>
      </c>
      <c r="S18" s="8" t="b">
        <v>1</v>
      </c>
      <c r="T18" s="10">
        <v>45735</v>
      </c>
      <c r="V18" s="8" t="b">
        <v>1</v>
      </c>
      <c r="W18" s="3" t="s">
        <v>1267</v>
      </c>
    </row>
    <row r="19" spans="1:23" ht="47.65">
      <c r="B19" s="8" t="b">
        <v>1</v>
      </c>
      <c r="C19" s="19" t="s">
        <v>1276</v>
      </c>
      <c r="G19" s="13">
        <v>524.37</v>
      </c>
      <c r="I19" s="3" t="s">
        <v>138</v>
      </c>
      <c r="K19" s="10"/>
      <c r="M19" s="8" t="b">
        <v>1</v>
      </c>
      <c r="N19" s="10">
        <v>45698</v>
      </c>
      <c r="P19" s="8" t="b">
        <v>1</v>
      </c>
      <c r="Q19" s="10">
        <v>45698</v>
      </c>
      <c r="S19" s="1"/>
      <c r="T19" s="10">
        <v>45743</v>
      </c>
      <c r="V19" s="1"/>
      <c r="W19" s="3" t="s">
        <v>1267</v>
      </c>
    </row>
    <row r="20" spans="1:23">
      <c r="B20" s="1"/>
      <c r="K20" s="10"/>
      <c r="Q20" s="10"/>
      <c r="S20" s="8" t="b">
        <v>0</v>
      </c>
      <c r="V20" s="8" t="b">
        <v>0</v>
      </c>
    </row>
    <row r="21" spans="1:23">
      <c r="A21" s="3" t="s">
        <v>1277</v>
      </c>
      <c r="B21" s="8" t="b">
        <v>1</v>
      </c>
      <c r="C21" s="3" t="s">
        <v>1278</v>
      </c>
      <c r="E21" s="13">
        <v>8400</v>
      </c>
      <c r="G21" s="13">
        <v>7600</v>
      </c>
      <c r="I21" s="3" t="s">
        <v>599</v>
      </c>
      <c r="M21" s="8" t="b">
        <v>1</v>
      </c>
      <c r="N21" s="10">
        <v>45709</v>
      </c>
      <c r="P21" s="8" t="b">
        <v>1</v>
      </c>
      <c r="Q21" s="10">
        <v>45725</v>
      </c>
      <c r="S21" s="1"/>
      <c r="V21" s="1"/>
    </row>
    <row r="22" spans="1:23">
      <c r="B22" s="1"/>
      <c r="M22" s="8" t="b">
        <v>0</v>
      </c>
      <c r="P22" s="8" t="b">
        <v>0</v>
      </c>
      <c r="S22" s="8" t="b">
        <v>0</v>
      </c>
      <c r="V22" s="8" t="b">
        <v>0</v>
      </c>
    </row>
    <row r="23" spans="1:23">
      <c r="B23" s="8" t="b">
        <v>1</v>
      </c>
      <c r="C23" s="3" t="s">
        <v>1279</v>
      </c>
      <c r="I23" s="3" t="s">
        <v>1280</v>
      </c>
      <c r="M23" s="9" t="b">
        <v>0</v>
      </c>
      <c r="P23" s="9" t="b">
        <v>0</v>
      </c>
      <c r="S23" s="9" t="b">
        <v>0</v>
      </c>
      <c r="V23" s="9" t="b">
        <v>0</v>
      </c>
    </row>
    <row r="24" spans="1:23">
      <c r="B24" s="1"/>
      <c r="M24" s="18"/>
      <c r="P24" s="18"/>
      <c r="S24" s="18"/>
      <c r="V24" s="18"/>
    </row>
    <row r="25" spans="1:23">
      <c r="A25" s="3" t="s">
        <v>377</v>
      </c>
      <c r="B25" s="8" t="b">
        <v>1</v>
      </c>
      <c r="C25" s="3" t="s">
        <v>1281</v>
      </c>
      <c r="M25" s="8" t="b">
        <v>1</v>
      </c>
      <c r="N25" s="10">
        <v>45693</v>
      </c>
      <c r="P25" s="8" t="b">
        <v>0</v>
      </c>
      <c r="S25" s="8" t="b">
        <v>0</v>
      </c>
      <c r="V25" s="8" t="b">
        <v>0</v>
      </c>
    </row>
    <row r="26" spans="1:23">
      <c r="B26" s="8" t="b">
        <v>0</v>
      </c>
      <c r="M26" s="8" t="b">
        <v>0</v>
      </c>
      <c r="N26" s="10"/>
      <c r="P26" s="8" t="b">
        <v>0</v>
      </c>
      <c r="S26" s="8" t="b">
        <v>0</v>
      </c>
      <c r="V26" s="8" t="b">
        <v>0</v>
      </c>
    </row>
    <row r="27" spans="1:23">
      <c r="A27" s="3" t="s">
        <v>498</v>
      </c>
      <c r="B27" s="8" t="b">
        <v>0</v>
      </c>
      <c r="C27" s="3" t="s">
        <v>1282</v>
      </c>
      <c r="G27" s="13">
        <v>1126</v>
      </c>
      <c r="M27" s="8" t="b">
        <v>0</v>
      </c>
      <c r="N27" s="10"/>
      <c r="P27" s="8" t="b">
        <v>0</v>
      </c>
      <c r="S27" s="8" t="b">
        <v>0</v>
      </c>
      <c r="V27" s="8" t="b">
        <v>0</v>
      </c>
    </row>
    <row r="28" spans="1:23">
      <c r="B28" s="8" t="b">
        <v>0</v>
      </c>
      <c r="M28" s="1"/>
      <c r="N28" s="10"/>
      <c r="P28" s="1"/>
      <c r="S28" s="1"/>
      <c r="V28" s="1"/>
    </row>
    <row r="29" spans="1:23">
      <c r="B29" s="2"/>
      <c r="M29" s="1"/>
      <c r="N29" s="10"/>
      <c r="P29" s="1"/>
      <c r="S29" s="1"/>
      <c r="V29" s="1"/>
    </row>
    <row r="30" spans="1:23">
      <c r="B30" s="2"/>
      <c r="E30" s="11">
        <f>SUM(E6:E29)</f>
        <v>31200</v>
      </c>
      <c r="F30" s="5"/>
      <c r="G30" s="11">
        <f>SUM(G6:G29)</f>
        <v>35617.009999999995</v>
      </c>
      <c r="M30" s="1"/>
      <c r="N30" s="10"/>
      <c r="P30" s="1"/>
      <c r="S30" s="1"/>
      <c r="V30" s="1"/>
    </row>
    <row r="31" spans="1:23">
      <c r="B31" s="1"/>
      <c r="M31" s="18"/>
      <c r="P31" s="18"/>
      <c r="S31" s="18"/>
      <c r="V31" s="18"/>
    </row>
    <row r="32" spans="1:23">
      <c r="B32" s="1"/>
      <c r="M32" s="18"/>
      <c r="P32" s="18"/>
      <c r="S32" s="18"/>
      <c r="V32" s="18"/>
    </row>
    <row r="33" spans="2:22">
      <c r="B33" s="18"/>
      <c r="M33" s="1"/>
      <c r="N33" s="10"/>
      <c r="P33" s="1"/>
      <c r="S33" s="1"/>
      <c r="V33" s="1"/>
    </row>
    <row r="34" spans="2:22">
      <c r="B34" s="1"/>
      <c r="M34" s="1"/>
      <c r="P34" s="1"/>
      <c r="S34" s="1"/>
      <c r="V34" s="1"/>
    </row>
    <row r="35" spans="2:22" s="5" customFormat="1">
      <c r="B35" s="4"/>
      <c r="E35" s="11"/>
      <c r="G35" s="11"/>
      <c r="L35" s="3"/>
      <c r="M35" s="1"/>
      <c r="N35" s="3"/>
      <c r="P35" s="1"/>
      <c r="S35" s="1"/>
      <c r="V35" s="1"/>
    </row>
    <row r="36" spans="2:22" s="5" customFormat="1">
      <c r="B36" s="4"/>
      <c r="E36" s="11"/>
      <c r="G36" s="11"/>
      <c r="L36" s="3"/>
      <c r="M36" s="1"/>
      <c r="N36" s="3"/>
      <c r="P36" s="1"/>
      <c r="S36" s="1"/>
      <c r="V36" s="1"/>
    </row>
    <row r="37" spans="2:22" s="5" customFormat="1">
      <c r="B37" s="1"/>
      <c r="C37" s="3"/>
      <c r="D37" s="3"/>
      <c r="E37" s="13"/>
      <c r="G37" s="13"/>
      <c r="L37" s="3"/>
      <c r="M37" s="1"/>
      <c r="N37" s="3"/>
      <c r="P37" s="1"/>
      <c r="S37" s="1"/>
      <c r="V37" s="1"/>
    </row>
    <row r="38" spans="2:22" s="5" customFormat="1">
      <c r="B38" s="1"/>
      <c r="C38" s="3"/>
      <c r="D38" s="3"/>
      <c r="E38" s="13"/>
      <c r="G38" s="13"/>
      <c r="L38" s="3"/>
      <c r="M38" s="1"/>
      <c r="N38" s="3"/>
      <c r="P38" s="1"/>
      <c r="S38" s="1"/>
      <c r="V38" s="1"/>
    </row>
    <row r="39" spans="2:22" s="5" customFormat="1">
      <c r="B39" s="1"/>
      <c r="C39" s="3"/>
      <c r="D39" s="3"/>
      <c r="E39" s="13"/>
      <c r="G39" s="13"/>
      <c r="L39" s="3"/>
      <c r="M39" s="1"/>
      <c r="N39" s="3"/>
      <c r="P39" s="1"/>
      <c r="S39" s="1"/>
      <c r="V39" s="1"/>
    </row>
    <row r="40" spans="2:22" s="5" customFormat="1">
      <c r="B40" s="1"/>
      <c r="C40" s="3"/>
      <c r="D40" s="3"/>
      <c r="E40" s="13"/>
      <c r="G40" s="13"/>
      <c r="L40" s="3"/>
      <c r="M40" s="1"/>
      <c r="N40" s="3"/>
      <c r="P40" s="1"/>
      <c r="S40" s="1"/>
      <c r="V40" s="1"/>
    </row>
    <row r="41" spans="2:22">
      <c r="B41" s="1"/>
      <c r="M41" s="1"/>
      <c r="P41" s="1"/>
      <c r="S41" s="1"/>
      <c r="V41" s="1"/>
    </row>
    <row r="42" spans="2:22">
      <c r="B42" s="1"/>
      <c r="M42" s="1"/>
      <c r="P42" s="1"/>
      <c r="S42" s="1"/>
      <c r="V42" s="1"/>
    </row>
    <row r="43" spans="2:22">
      <c r="B43" s="1"/>
      <c r="M43" s="1"/>
      <c r="P43" s="1"/>
      <c r="S43" s="1"/>
      <c r="V43" s="1"/>
    </row>
    <row r="44" spans="2:22">
      <c r="B44" s="1"/>
      <c r="M44" s="1"/>
      <c r="P44" s="1"/>
      <c r="S44" s="1"/>
      <c r="V44" s="1"/>
    </row>
    <row r="45" spans="2:22">
      <c r="B45" s="1"/>
      <c r="M45" s="1"/>
      <c r="P45" s="1"/>
      <c r="S45" s="1"/>
      <c r="V45" s="1"/>
    </row>
    <row r="46" spans="2:22">
      <c r="B46" s="18"/>
      <c r="M46" s="1"/>
      <c r="P46" s="1"/>
      <c r="S46" s="1"/>
      <c r="V46" s="1"/>
    </row>
    <row r="47" spans="2:22">
      <c r="B47" s="1"/>
      <c r="L47" s="5"/>
      <c r="M47" s="1"/>
      <c r="N47" s="5"/>
      <c r="P47" s="1"/>
      <c r="S47" s="1"/>
      <c r="V47" s="1"/>
    </row>
    <row r="48" spans="2:22">
      <c r="B48" s="1"/>
      <c r="L48" s="5"/>
      <c r="M48" s="1"/>
      <c r="N48" s="5"/>
      <c r="P48" s="1"/>
      <c r="S48" s="1"/>
      <c r="V48" s="1"/>
    </row>
    <row r="49" spans="2:22">
      <c r="B49" s="1"/>
      <c r="L49" s="5"/>
      <c r="M49" s="1"/>
      <c r="N49" s="5"/>
      <c r="P49" s="1"/>
      <c r="S49" s="1"/>
      <c r="V49" s="1"/>
    </row>
    <row r="50" spans="2:22">
      <c r="B50" s="1"/>
      <c r="L50" s="5"/>
      <c r="M50" s="1"/>
      <c r="N50" s="5"/>
      <c r="P50" s="1"/>
      <c r="S50" s="1"/>
      <c r="V50" s="1"/>
    </row>
    <row r="51" spans="2:22">
      <c r="B51" s="1"/>
      <c r="M51" s="1"/>
      <c r="P51" s="1"/>
      <c r="S51" s="1"/>
      <c r="V51" s="1"/>
    </row>
    <row r="52" spans="2:22">
      <c r="B52" s="1"/>
      <c r="M52" s="2"/>
      <c r="P52" s="2"/>
      <c r="S52" s="2"/>
      <c r="V52" s="2"/>
    </row>
    <row r="53" spans="2:22" s="5" customFormat="1">
      <c r="B53" s="4"/>
      <c r="E53" s="11"/>
      <c r="G53" s="11"/>
      <c r="M53" s="14"/>
      <c r="P53" s="14"/>
      <c r="S53" s="14"/>
      <c r="V53" s="14"/>
    </row>
    <row r="54" spans="2:22" s="5" customFormat="1">
      <c r="B54" s="4"/>
      <c r="E54" s="11"/>
      <c r="G54" s="11"/>
      <c r="L54" s="3"/>
      <c r="M54" s="2"/>
      <c r="N54" s="3"/>
      <c r="P54" s="2"/>
      <c r="S54" s="2"/>
      <c r="V54" s="2"/>
    </row>
    <row r="55" spans="2:22" s="5" customFormat="1">
      <c r="B55" s="1"/>
      <c r="C55" s="3"/>
      <c r="D55" s="3"/>
      <c r="E55" s="13"/>
      <c r="G55" s="13"/>
      <c r="M55" s="4"/>
      <c r="P55" s="4"/>
      <c r="S55" s="4"/>
      <c r="V55" s="4"/>
    </row>
    <row r="56" spans="2:22" s="5" customFormat="1">
      <c r="B56" s="1"/>
      <c r="C56" s="3"/>
      <c r="D56" s="3"/>
      <c r="E56" s="13"/>
      <c r="G56" s="13"/>
      <c r="M56" s="4"/>
      <c r="P56" s="4"/>
      <c r="S56" s="4"/>
      <c r="V56" s="4"/>
    </row>
    <row r="57" spans="2:22">
      <c r="B57" s="1"/>
      <c r="L57" s="5"/>
      <c r="M57" s="4"/>
      <c r="N57" s="5"/>
      <c r="P57" s="4"/>
      <c r="S57" s="4"/>
      <c r="V57" s="4"/>
    </row>
    <row r="58" spans="2:22">
      <c r="B58" s="1"/>
      <c r="L58" s="5"/>
      <c r="M58" s="1"/>
      <c r="N58" s="5"/>
      <c r="P58" s="1"/>
      <c r="S58" s="1"/>
      <c r="V58" s="1"/>
    </row>
    <row r="59" spans="2:22">
      <c r="B59" s="1"/>
      <c r="L59" s="5"/>
      <c r="M59" s="1"/>
      <c r="N59" s="5"/>
      <c r="P59" s="1"/>
      <c r="S59" s="1"/>
      <c r="V59" s="1"/>
    </row>
    <row r="60" spans="2:22">
      <c r="B60" s="1"/>
      <c r="M60" s="1"/>
      <c r="P60" s="1"/>
      <c r="S60" s="1"/>
      <c r="V60" s="1"/>
    </row>
    <row r="61" spans="2:22">
      <c r="B61" s="1"/>
      <c r="M61" s="1"/>
      <c r="P61" s="1"/>
      <c r="S61" s="1"/>
      <c r="V61" s="1"/>
    </row>
    <row r="62" spans="2:22">
      <c r="B62" s="1"/>
      <c r="M62" s="1"/>
      <c r="P62" s="1"/>
      <c r="S62" s="1"/>
      <c r="V62" s="1"/>
    </row>
    <row r="63" spans="2:22">
      <c r="B63" s="1"/>
      <c r="M63" s="1"/>
      <c r="P63" s="1"/>
      <c r="S63" s="1"/>
      <c r="V63" s="1"/>
    </row>
    <row r="64" spans="2:22">
      <c r="B64" s="1"/>
      <c r="M64" s="1"/>
      <c r="P64" s="1"/>
      <c r="S64" s="1"/>
      <c r="V64" s="1"/>
    </row>
    <row r="65" spans="2:22">
      <c r="B65" s="1"/>
      <c r="M65" s="1"/>
      <c r="P65" s="1"/>
      <c r="S65" s="1"/>
      <c r="V65" s="1"/>
    </row>
    <row r="66" spans="2:22">
      <c r="B66" s="1"/>
      <c r="M66" s="1"/>
      <c r="P66" s="1"/>
      <c r="S66" s="1"/>
      <c r="V66" s="1"/>
    </row>
    <row r="67" spans="2:22">
      <c r="B67" s="1"/>
      <c r="M67" s="1"/>
      <c r="P67" s="1"/>
      <c r="S67" s="1"/>
      <c r="V67" s="1"/>
    </row>
    <row r="68" spans="2:22">
      <c r="M68" s="1"/>
      <c r="P68" s="1"/>
      <c r="S68" s="1"/>
      <c r="V68" s="1"/>
    </row>
    <row r="69" spans="2:22">
      <c r="M69" s="1"/>
      <c r="P69" s="1"/>
      <c r="S69" s="1"/>
      <c r="V69" s="1"/>
    </row>
    <row r="70" spans="2:22">
      <c r="M70" s="1"/>
      <c r="P70" s="1"/>
      <c r="S70" s="1"/>
      <c r="V70" s="1"/>
    </row>
  </sheetData>
  <pageMargins left="0.7" right="0.7" top="0.75" bottom="0.75" header="0.3" footer="0.3"/>
  <pageSetup paperSize="66" orientation="portrait" horizontalDpi="203" verticalDpi="203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E1D0-0F74-44AB-950E-2AD459F52734}">
  <dimension ref="A1:X89"/>
  <sheetViews>
    <sheetView workbookViewId="0">
      <pane ySplit="2" topLeftCell="A43" activePane="bottomLeft" state="frozen"/>
      <selection pane="bottomLeft" activeCell="G46" sqref="G46"/>
    </sheetView>
  </sheetViews>
  <sheetFormatPr defaultColWidth="8.85546875" defaultRowHeight="15.95"/>
  <cols>
    <col min="1" max="1" width="12.7109375" style="3" customWidth="1"/>
    <col min="2" max="2" width="9.140625" style="3"/>
    <col min="3" max="3" width="40" style="3" customWidth="1"/>
    <col min="4" max="4" width="2.5703125" style="3" customWidth="1"/>
    <col min="5" max="5" width="17.5703125" style="13" customWidth="1"/>
    <col min="6" max="6" width="2.140625" style="13" customWidth="1"/>
    <col min="7" max="7" width="12.42578125" style="13" customWidth="1"/>
    <col min="8" max="8" width="1.5703125" style="3" customWidth="1"/>
    <col min="9" max="9" width="19.42578125" style="3" customWidth="1"/>
    <col min="10" max="10" width="2.42578125" style="3" customWidth="1"/>
    <col min="11" max="11" width="13.7109375" style="3" customWidth="1"/>
    <col min="12" max="12" width="2.42578125" style="3" customWidth="1"/>
    <col min="13" max="13" width="9.140625" style="3"/>
    <col min="14" max="14" width="13.7109375" style="3" customWidth="1"/>
    <col min="15" max="15" width="2.7109375" style="3" customWidth="1"/>
    <col min="16" max="16" width="9.140625" style="3"/>
    <col min="17" max="17" width="13.7109375" style="3" customWidth="1"/>
    <col min="18" max="18" width="2.7109375" style="3" customWidth="1"/>
    <col min="19" max="19" width="9.140625" style="3"/>
    <col min="20" max="20" width="11.42578125" style="3" customWidth="1"/>
    <col min="21" max="21" width="2.140625" style="3" customWidth="1"/>
    <col min="22" max="22" width="9.140625" style="3"/>
    <col min="23" max="23" width="11.42578125" style="3" customWidth="1"/>
    <col min="24" max="24" width="32.5703125" style="3" customWidth="1"/>
    <col min="25" max="25" width="21.42578125" style="3" customWidth="1"/>
    <col min="26" max="16384" width="8.85546875" style="3"/>
  </cols>
  <sheetData>
    <row r="1" spans="1:24" s="5" customFormat="1">
      <c r="A1" s="4" t="s">
        <v>560</v>
      </c>
      <c r="E1" s="11"/>
      <c r="F1" s="11"/>
      <c r="G1" s="11"/>
      <c r="M1" s="4"/>
      <c r="P1" s="4"/>
      <c r="S1" s="4"/>
      <c r="V1" s="4"/>
    </row>
    <row r="2" spans="1:24" s="5" customFormat="1" ht="47.65">
      <c r="B2" s="4"/>
      <c r="E2" s="12" t="s">
        <v>67</v>
      </c>
      <c r="F2" s="12"/>
      <c r="G2" s="12" t="s">
        <v>1283</v>
      </c>
      <c r="I2" s="6" t="s">
        <v>5</v>
      </c>
      <c r="J2" s="6"/>
      <c r="K2" s="7" t="s">
        <v>591</v>
      </c>
      <c r="L2" s="6"/>
      <c r="M2" s="17"/>
      <c r="N2" s="7" t="s">
        <v>193</v>
      </c>
      <c r="P2" s="17"/>
      <c r="Q2" s="7" t="s">
        <v>69</v>
      </c>
      <c r="S2" s="17"/>
      <c r="T2" s="7" t="s">
        <v>70</v>
      </c>
      <c r="V2" s="17"/>
      <c r="W2" s="7" t="s">
        <v>71</v>
      </c>
      <c r="X2" s="6" t="s">
        <v>72</v>
      </c>
    </row>
    <row r="3" spans="1:24" s="5" customFormat="1">
      <c r="A3" s="4" t="s">
        <v>73</v>
      </c>
      <c r="E3" s="11"/>
      <c r="F3" s="11"/>
      <c r="G3" s="11"/>
    </row>
    <row r="4" spans="1:24">
      <c r="B4" s="1"/>
      <c r="M4" s="1"/>
      <c r="P4" s="1"/>
      <c r="S4" s="1"/>
      <c r="V4" s="1"/>
    </row>
    <row r="5" spans="1:24">
      <c r="A5" s="20"/>
      <c r="B5" s="20"/>
      <c r="C5" s="20"/>
      <c r="D5" s="20"/>
      <c r="E5" s="23"/>
      <c r="M5" s="1"/>
      <c r="P5" s="1"/>
      <c r="S5" s="8" t="b">
        <v>0</v>
      </c>
      <c r="V5" s="8" t="b">
        <v>0</v>
      </c>
    </row>
    <row r="6" spans="1:24">
      <c r="A6" s="20"/>
      <c r="B6" s="20"/>
      <c r="C6" s="20" t="s">
        <v>562</v>
      </c>
      <c r="D6" s="20"/>
      <c r="E6" s="23"/>
      <c r="M6" s="8" t="b">
        <v>0</v>
      </c>
      <c r="P6" s="8" t="b">
        <v>0</v>
      </c>
      <c r="S6" s="8" t="b">
        <v>0</v>
      </c>
      <c r="V6" s="8" t="b">
        <v>0</v>
      </c>
    </row>
    <row r="7" spans="1:24">
      <c r="A7" s="20"/>
      <c r="B7" s="20"/>
      <c r="C7" s="20"/>
      <c r="D7" s="20"/>
      <c r="E7" s="23"/>
      <c r="M7" s="8" t="b">
        <v>0</v>
      </c>
      <c r="N7" s="10"/>
      <c r="P7" s="8" t="b">
        <v>0</v>
      </c>
      <c r="Q7" s="10"/>
      <c r="S7" s="8" t="b">
        <v>0</v>
      </c>
      <c r="V7" s="8" t="b">
        <v>0</v>
      </c>
    </row>
    <row r="8" spans="1:24">
      <c r="A8" s="20"/>
      <c r="B8" s="20"/>
      <c r="C8" s="20" t="s">
        <v>1284</v>
      </c>
      <c r="D8" s="20"/>
      <c r="E8" s="23"/>
      <c r="M8" s="8" t="b">
        <v>0</v>
      </c>
      <c r="N8" s="10"/>
      <c r="P8" s="8" t="b">
        <v>0</v>
      </c>
      <c r="Q8" s="10"/>
      <c r="S8" s="8" t="b">
        <v>0</v>
      </c>
      <c r="V8" s="8" t="b">
        <v>0</v>
      </c>
    </row>
    <row r="9" spans="1:24">
      <c r="A9" s="20"/>
      <c r="B9" s="20"/>
      <c r="C9" s="20" t="s">
        <v>1285</v>
      </c>
      <c r="D9" s="20"/>
      <c r="E9" s="23"/>
      <c r="M9" s="8" t="b">
        <v>0</v>
      </c>
      <c r="P9" s="8" t="b">
        <v>0</v>
      </c>
      <c r="S9" s="8" t="b">
        <v>0</v>
      </c>
      <c r="V9" s="8" t="b">
        <v>0</v>
      </c>
    </row>
    <row r="10" spans="1:24">
      <c r="A10" s="20"/>
      <c r="B10" s="20"/>
      <c r="C10" s="20" t="s">
        <v>1286</v>
      </c>
      <c r="D10" s="20"/>
      <c r="E10" s="23"/>
      <c r="M10" s="8" t="b">
        <v>0</v>
      </c>
      <c r="P10" s="8" t="b">
        <v>0</v>
      </c>
      <c r="S10" s="8" t="b">
        <v>0</v>
      </c>
      <c r="V10" s="8" t="b">
        <v>0</v>
      </c>
    </row>
    <row r="11" spans="1:24">
      <c r="A11" s="20"/>
      <c r="B11" s="20"/>
      <c r="C11" s="20" t="s">
        <v>1287</v>
      </c>
      <c r="D11" s="20"/>
      <c r="E11" s="23"/>
      <c r="M11" s="8" t="b">
        <v>0</v>
      </c>
      <c r="P11" s="8" t="b">
        <v>0</v>
      </c>
      <c r="S11" s="8" t="b">
        <v>0</v>
      </c>
      <c r="V11" s="8" t="b">
        <v>0</v>
      </c>
    </row>
    <row r="12" spans="1:24">
      <c r="A12" s="20"/>
      <c r="B12" s="20"/>
      <c r="C12" s="20"/>
      <c r="D12" s="20"/>
      <c r="E12" s="23"/>
      <c r="M12" s="8" t="b">
        <v>0</v>
      </c>
      <c r="P12" s="8" t="b">
        <v>0</v>
      </c>
      <c r="S12" s="8" t="b">
        <v>0</v>
      </c>
      <c r="V12" s="8" t="b">
        <v>0</v>
      </c>
    </row>
    <row r="13" spans="1:24">
      <c r="A13" s="20"/>
      <c r="B13" s="20"/>
      <c r="C13" s="20"/>
      <c r="D13" s="20"/>
      <c r="E13" s="23"/>
      <c r="M13" s="8" t="b">
        <v>0</v>
      </c>
      <c r="P13" s="8" t="b">
        <v>0</v>
      </c>
      <c r="S13" s="8" t="b">
        <v>0</v>
      </c>
      <c r="V13" s="8" t="b">
        <v>0</v>
      </c>
    </row>
    <row r="14" spans="1:24">
      <c r="A14" s="20"/>
      <c r="B14" s="20"/>
      <c r="C14" s="20"/>
      <c r="D14" s="20"/>
      <c r="E14" s="23"/>
      <c r="M14" s="8" t="b">
        <v>0</v>
      </c>
      <c r="P14" s="8" t="b">
        <v>0</v>
      </c>
      <c r="S14" s="8" t="b">
        <v>0</v>
      </c>
      <c r="V14" s="8" t="b">
        <v>0</v>
      </c>
    </row>
    <row r="15" spans="1:24">
      <c r="A15" s="20"/>
      <c r="B15" s="20"/>
      <c r="C15" s="20"/>
      <c r="D15" s="20"/>
      <c r="E15" s="23"/>
      <c r="M15" s="8" t="b">
        <v>0</v>
      </c>
      <c r="P15" s="8" t="b">
        <v>0</v>
      </c>
      <c r="S15" s="8" t="b">
        <v>0</v>
      </c>
      <c r="V15" s="8" t="b">
        <v>0</v>
      </c>
    </row>
    <row r="16" spans="1:24">
      <c r="A16" s="20" t="s">
        <v>869</v>
      </c>
      <c r="B16" s="20"/>
      <c r="C16" s="20" t="s">
        <v>1288</v>
      </c>
      <c r="D16" s="20"/>
      <c r="E16" s="23"/>
      <c r="I16" s="3" t="s">
        <v>138</v>
      </c>
      <c r="M16" s="8" t="b">
        <v>0</v>
      </c>
      <c r="P16" s="8" t="b">
        <v>1</v>
      </c>
      <c r="Q16" s="10">
        <v>45710</v>
      </c>
      <c r="S16" s="8" t="b">
        <v>0</v>
      </c>
      <c r="T16" s="10">
        <v>45742</v>
      </c>
      <c r="V16" s="8" t="b">
        <v>1</v>
      </c>
      <c r="W16" s="3" t="s">
        <v>1289</v>
      </c>
    </row>
    <row r="17" spans="1:23">
      <c r="A17" s="20"/>
      <c r="B17" s="20"/>
      <c r="C17" s="20" t="s">
        <v>1290</v>
      </c>
      <c r="D17" s="20"/>
      <c r="E17" s="23">
        <v>750</v>
      </c>
      <c r="G17" s="13">
        <v>329.62</v>
      </c>
      <c r="I17" s="3" t="s">
        <v>138</v>
      </c>
      <c r="M17" s="8" t="b">
        <v>0</v>
      </c>
      <c r="P17" s="8" t="b">
        <v>1</v>
      </c>
      <c r="Q17" s="10">
        <v>45710</v>
      </c>
      <c r="S17" s="8" t="b">
        <v>0</v>
      </c>
      <c r="T17" s="10">
        <v>45742</v>
      </c>
      <c r="V17" s="8" t="b">
        <v>1</v>
      </c>
      <c r="W17" s="3" t="s">
        <v>1289</v>
      </c>
    </row>
    <row r="18" spans="1:23">
      <c r="A18" s="20"/>
      <c r="B18" s="20"/>
      <c r="C18" s="20" t="s">
        <v>1291</v>
      </c>
      <c r="D18" s="20"/>
      <c r="E18" s="23"/>
      <c r="I18" s="3" t="s">
        <v>138</v>
      </c>
      <c r="M18" s="8" t="b">
        <v>0</v>
      </c>
      <c r="P18" s="8" t="b">
        <v>1</v>
      </c>
      <c r="Q18" s="10">
        <v>45710</v>
      </c>
      <c r="S18" s="8" t="b">
        <v>0</v>
      </c>
      <c r="T18" s="10">
        <v>45742</v>
      </c>
      <c r="V18" s="8" t="b">
        <v>1</v>
      </c>
      <c r="W18" s="3" t="s">
        <v>1289</v>
      </c>
    </row>
    <row r="19" spans="1:23">
      <c r="A19" s="20"/>
      <c r="B19" s="20"/>
      <c r="C19" s="20" t="s">
        <v>1292</v>
      </c>
      <c r="D19" s="20"/>
      <c r="E19" s="23"/>
      <c r="I19" s="3" t="s">
        <v>138</v>
      </c>
      <c r="M19" s="8" t="b">
        <v>0</v>
      </c>
      <c r="P19" s="8" t="b">
        <v>1</v>
      </c>
      <c r="Q19" s="10">
        <v>45710</v>
      </c>
      <c r="S19" s="8" t="b">
        <v>0</v>
      </c>
      <c r="T19" s="10">
        <v>45742</v>
      </c>
      <c r="V19" s="8" t="b">
        <v>1</v>
      </c>
      <c r="W19" s="3" t="s">
        <v>1289</v>
      </c>
    </row>
    <row r="20" spans="1:23">
      <c r="A20" s="20"/>
      <c r="B20" s="20"/>
      <c r="C20" s="20" t="s">
        <v>1293</v>
      </c>
      <c r="D20" s="20"/>
      <c r="E20" s="23"/>
      <c r="I20" s="3" t="s">
        <v>138</v>
      </c>
      <c r="M20" s="8" t="b">
        <v>0</v>
      </c>
      <c r="P20" s="8" t="b">
        <v>1</v>
      </c>
      <c r="Q20" s="10">
        <v>45710</v>
      </c>
      <c r="S20" s="8" t="b">
        <v>0</v>
      </c>
      <c r="T20" s="10">
        <v>45742</v>
      </c>
      <c r="V20" s="8" t="b">
        <v>1</v>
      </c>
      <c r="W20" s="3" t="s">
        <v>1289</v>
      </c>
    </row>
    <row r="21" spans="1:23">
      <c r="A21" s="20"/>
      <c r="B21" s="20"/>
      <c r="C21" s="20" t="s">
        <v>1294</v>
      </c>
      <c r="D21" s="20"/>
      <c r="E21" s="23"/>
      <c r="I21" s="3" t="s">
        <v>138</v>
      </c>
      <c r="M21" s="8" t="b">
        <v>0</v>
      </c>
      <c r="P21" s="8" t="b">
        <v>1</v>
      </c>
      <c r="Q21" s="10">
        <v>45710</v>
      </c>
      <c r="S21" s="8" t="b">
        <v>0</v>
      </c>
      <c r="T21" s="10">
        <v>45742</v>
      </c>
      <c r="V21" s="8" t="b">
        <v>1</v>
      </c>
      <c r="W21" s="3" t="s">
        <v>1289</v>
      </c>
    </row>
    <row r="22" spans="1:23">
      <c r="A22" s="20"/>
      <c r="B22" s="20"/>
      <c r="C22" s="20" t="s">
        <v>1295</v>
      </c>
      <c r="D22" s="20"/>
      <c r="E22" s="23"/>
      <c r="I22" s="3" t="s">
        <v>138</v>
      </c>
      <c r="M22" s="8" t="b">
        <v>0</v>
      </c>
      <c r="P22" s="8" t="b">
        <v>1</v>
      </c>
      <c r="Q22" s="10">
        <v>45710</v>
      </c>
      <c r="S22" s="8" t="b">
        <v>0</v>
      </c>
      <c r="T22" s="10">
        <v>46107</v>
      </c>
      <c r="V22" s="8" t="b">
        <v>1</v>
      </c>
      <c r="W22" s="3" t="s">
        <v>1289</v>
      </c>
    </row>
    <row r="23" spans="1:23">
      <c r="A23" s="20"/>
      <c r="B23" s="20"/>
      <c r="C23" s="20"/>
      <c r="D23" s="20"/>
      <c r="E23" s="23"/>
      <c r="M23" s="8" t="b">
        <v>0</v>
      </c>
      <c r="P23" s="8" t="b">
        <v>0</v>
      </c>
      <c r="S23" s="8" t="b">
        <v>0</v>
      </c>
      <c r="V23" s="8" t="b">
        <v>0</v>
      </c>
    </row>
    <row r="24" spans="1:23">
      <c r="A24" s="20"/>
      <c r="B24" s="20"/>
      <c r="C24" s="20"/>
      <c r="D24" s="20"/>
      <c r="E24" s="23"/>
      <c r="M24" s="8" t="b">
        <v>0</v>
      </c>
      <c r="P24" s="8" t="b">
        <v>0</v>
      </c>
      <c r="S24" s="8" t="b">
        <v>0</v>
      </c>
      <c r="V24" s="8" t="b">
        <v>0</v>
      </c>
    </row>
    <row r="25" spans="1:23">
      <c r="A25" s="20"/>
      <c r="B25" s="20"/>
      <c r="C25" s="20"/>
      <c r="D25" s="20"/>
      <c r="E25" s="23"/>
      <c r="M25" s="8" t="b">
        <v>0</v>
      </c>
      <c r="P25" s="8" t="b">
        <v>0</v>
      </c>
      <c r="Q25" s="10"/>
      <c r="S25" s="8" t="b">
        <v>0</v>
      </c>
      <c r="V25" s="8" t="b">
        <v>0</v>
      </c>
    </row>
    <row r="26" spans="1:23">
      <c r="A26" s="20" t="s">
        <v>563</v>
      </c>
      <c r="B26" s="20"/>
      <c r="C26" s="20"/>
      <c r="D26" s="20"/>
      <c r="E26" s="23"/>
      <c r="M26" s="8" t="b">
        <v>0</v>
      </c>
      <c r="N26" s="10"/>
      <c r="P26" s="8" t="b">
        <v>0</v>
      </c>
      <c r="Q26" s="10"/>
      <c r="S26" s="8" t="b">
        <v>0</v>
      </c>
      <c r="T26" s="10"/>
      <c r="V26" s="8" t="b">
        <v>0</v>
      </c>
    </row>
    <row r="27" spans="1:23">
      <c r="A27" s="20"/>
      <c r="B27" s="20"/>
      <c r="C27" s="20"/>
      <c r="D27" s="20"/>
      <c r="E27" s="23"/>
      <c r="M27" s="8" t="b">
        <v>0</v>
      </c>
      <c r="N27" s="10"/>
      <c r="P27" s="8" t="b">
        <v>0</v>
      </c>
      <c r="Q27" s="10"/>
      <c r="S27" s="8" t="b">
        <v>0</v>
      </c>
      <c r="T27" s="10"/>
      <c r="V27" s="8" t="b">
        <v>0</v>
      </c>
    </row>
    <row r="28" spans="1:23">
      <c r="A28" s="20"/>
      <c r="B28" s="20"/>
      <c r="C28" s="20" t="s">
        <v>1296</v>
      </c>
      <c r="D28" s="20"/>
      <c r="E28" s="23"/>
      <c r="G28" s="13">
        <v>437.91</v>
      </c>
      <c r="I28" s="3" t="s">
        <v>6</v>
      </c>
      <c r="M28" s="8" t="b">
        <v>0</v>
      </c>
      <c r="N28" s="10"/>
      <c r="P28" s="8" t="b">
        <v>0</v>
      </c>
      <c r="Q28" s="10"/>
      <c r="S28" s="8" t="b">
        <v>0</v>
      </c>
      <c r="T28" s="10">
        <v>45742</v>
      </c>
      <c r="V28" s="8" t="b">
        <v>1</v>
      </c>
      <c r="W28" s="3" t="s">
        <v>1289</v>
      </c>
    </row>
    <row r="29" spans="1:23">
      <c r="A29" s="20"/>
      <c r="B29" s="20"/>
      <c r="C29" s="20" t="s">
        <v>1297</v>
      </c>
      <c r="D29" s="20"/>
      <c r="E29" s="23"/>
      <c r="I29" s="3" t="s">
        <v>6</v>
      </c>
      <c r="M29" s="8" t="b">
        <v>0</v>
      </c>
      <c r="N29" s="10"/>
      <c r="P29" s="8" t="b">
        <v>0</v>
      </c>
      <c r="Q29" s="10"/>
      <c r="S29" s="8" t="b">
        <v>0</v>
      </c>
      <c r="T29" s="10">
        <v>45742</v>
      </c>
      <c r="V29" s="8" t="b">
        <v>1</v>
      </c>
      <c r="W29" s="3" t="s">
        <v>1289</v>
      </c>
    </row>
    <row r="30" spans="1:23">
      <c r="A30" s="20"/>
      <c r="B30" s="20"/>
      <c r="C30" s="20" t="s">
        <v>223</v>
      </c>
      <c r="D30" s="20"/>
      <c r="E30" s="23">
        <v>450</v>
      </c>
      <c r="I30" s="3" t="s">
        <v>6</v>
      </c>
      <c r="K30" s="10"/>
      <c r="M30" s="8" t="b">
        <v>0</v>
      </c>
      <c r="N30" s="10"/>
      <c r="P30" s="8" t="b">
        <v>0</v>
      </c>
      <c r="Q30" s="10"/>
      <c r="S30" s="8" t="b">
        <v>0</v>
      </c>
      <c r="T30" s="10">
        <v>45742</v>
      </c>
      <c r="V30" s="8" t="b">
        <v>1</v>
      </c>
      <c r="W30" s="3" t="s">
        <v>1289</v>
      </c>
    </row>
    <row r="31" spans="1:23">
      <c r="A31" s="20"/>
      <c r="B31" s="20"/>
      <c r="C31" s="20" t="s">
        <v>1298</v>
      </c>
      <c r="D31" s="20"/>
      <c r="E31" s="23"/>
      <c r="I31" s="3" t="s">
        <v>6</v>
      </c>
      <c r="K31" s="10"/>
      <c r="M31" s="8" t="b">
        <v>0</v>
      </c>
      <c r="N31" s="10"/>
      <c r="P31" s="8" t="b">
        <v>0</v>
      </c>
      <c r="Q31" s="10"/>
      <c r="S31" s="8" t="b">
        <v>0</v>
      </c>
      <c r="T31" s="10">
        <v>45742</v>
      </c>
      <c r="V31" s="8" t="b">
        <v>1</v>
      </c>
      <c r="W31" s="3" t="s">
        <v>1289</v>
      </c>
    </row>
    <row r="32" spans="1:23">
      <c r="A32" s="20"/>
      <c r="B32" s="20"/>
      <c r="C32" s="20" t="s">
        <v>1299</v>
      </c>
      <c r="D32" s="20"/>
      <c r="E32" s="23"/>
      <c r="I32" s="3" t="s">
        <v>138</v>
      </c>
      <c r="K32" s="10"/>
      <c r="M32" s="8" t="b">
        <v>0</v>
      </c>
      <c r="N32" s="10"/>
      <c r="P32" s="8" t="b">
        <v>0</v>
      </c>
      <c r="Q32" s="10"/>
      <c r="S32" s="8" t="b">
        <v>0</v>
      </c>
      <c r="T32" s="10"/>
      <c r="V32" s="8" t="b">
        <v>0</v>
      </c>
    </row>
    <row r="33" spans="1:23">
      <c r="A33" s="20"/>
      <c r="B33" s="20"/>
      <c r="C33" s="20"/>
      <c r="D33" s="20"/>
      <c r="E33" s="23"/>
      <c r="K33" s="10"/>
      <c r="M33" s="8" t="b">
        <v>0</v>
      </c>
      <c r="N33" s="10"/>
      <c r="P33" s="8" t="b">
        <v>0</v>
      </c>
      <c r="Q33" s="10"/>
      <c r="S33" s="8" t="b">
        <v>0</v>
      </c>
      <c r="T33" s="10"/>
      <c r="V33" s="8" t="b">
        <v>0</v>
      </c>
    </row>
    <row r="34" spans="1:23">
      <c r="A34" s="20" t="s">
        <v>270</v>
      </c>
      <c r="B34" s="20"/>
      <c r="C34" s="20" t="s">
        <v>1300</v>
      </c>
      <c r="D34" s="20"/>
      <c r="E34" s="23"/>
      <c r="K34" s="10"/>
      <c r="M34" s="8" t="b">
        <v>0</v>
      </c>
      <c r="N34" s="10"/>
      <c r="P34" s="8" t="b">
        <v>0</v>
      </c>
      <c r="Q34" s="10"/>
      <c r="S34" s="8" t="b">
        <v>0</v>
      </c>
      <c r="T34" s="10"/>
      <c r="V34" s="8" t="b">
        <v>0</v>
      </c>
    </row>
    <row r="35" spans="1:23">
      <c r="A35" s="20"/>
      <c r="B35" s="20"/>
      <c r="C35" s="20" t="s">
        <v>1301</v>
      </c>
      <c r="D35" s="20"/>
      <c r="E35" s="23"/>
      <c r="K35" s="10"/>
      <c r="M35" s="8" t="b">
        <v>0</v>
      </c>
      <c r="N35" s="10"/>
      <c r="P35" s="8" t="b">
        <v>0</v>
      </c>
      <c r="Q35" s="10"/>
      <c r="S35" s="8" t="b">
        <v>0</v>
      </c>
      <c r="T35" s="10"/>
      <c r="V35" s="8" t="b">
        <v>0</v>
      </c>
    </row>
    <row r="36" spans="1:23">
      <c r="A36" s="20"/>
      <c r="B36" s="20"/>
      <c r="C36" s="20"/>
      <c r="D36" s="20"/>
      <c r="E36" s="23"/>
      <c r="K36" s="10"/>
      <c r="M36" s="8" t="b">
        <v>0</v>
      </c>
      <c r="N36" s="10"/>
      <c r="P36" s="8" t="b">
        <v>0</v>
      </c>
      <c r="Q36" s="10"/>
      <c r="S36" s="8" t="b">
        <v>0</v>
      </c>
      <c r="T36" s="10"/>
      <c r="V36" s="8" t="b">
        <v>0</v>
      </c>
    </row>
    <row r="37" spans="1:23" ht="47.65">
      <c r="A37" s="20"/>
      <c r="B37" s="20"/>
      <c r="C37" s="20" t="s">
        <v>1302</v>
      </c>
      <c r="D37" s="20"/>
      <c r="E37" s="23"/>
      <c r="K37" s="27" t="s">
        <v>1303</v>
      </c>
      <c r="M37" s="8" t="b">
        <v>0</v>
      </c>
      <c r="P37" s="8" t="b">
        <v>0</v>
      </c>
      <c r="Q37" s="10">
        <v>45770</v>
      </c>
      <c r="S37" s="8" t="b">
        <v>1</v>
      </c>
      <c r="V37" s="8" t="b">
        <v>0</v>
      </c>
    </row>
    <row r="38" spans="1:23">
      <c r="A38" s="20"/>
      <c r="B38" s="20"/>
      <c r="C38" s="20"/>
      <c r="D38" s="20"/>
      <c r="E38" s="23"/>
      <c r="M38" s="18"/>
      <c r="P38" s="18"/>
      <c r="S38" s="18"/>
      <c r="V38" s="18"/>
    </row>
    <row r="39" spans="1:23">
      <c r="A39" s="20" t="s">
        <v>543</v>
      </c>
      <c r="B39" s="20"/>
      <c r="C39" s="20" t="s">
        <v>1304</v>
      </c>
      <c r="D39" s="20"/>
      <c r="E39" s="23">
        <v>650</v>
      </c>
      <c r="G39" s="13">
        <v>1404.46</v>
      </c>
      <c r="I39" s="3" t="s">
        <v>1305</v>
      </c>
      <c r="M39" s="8" t="b">
        <v>1</v>
      </c>
      <c r="N39" s="10"/>
      <c r="P39" s="8" t="b">
        <v>1</v>
      </c>
      <c r="Q39" s="10">
        <v>45699</v>
      </c>
      <c r="S39" s="8" t="b">
        <v>0</v>
      </c>
      <c r="T39" s="10">
        <v>45742</v>
      </c>
      <c r="V39" s="8" t="b">
        <v>1</v>
      </c>
      <c r="W39" s="3" t="s">
        <v>1289</v>
      </c>
    </row>
    <row r="40" spans="1:23">
      <c r="A40" s="20"/>
      <c r="B40" s="20"/>
      <c r="C40" s="20" t="s">
        <v>1306</v>
      </c>
      <c r="D40" s="20"/>
      <c r="E40" s="23">
        <v>3200</v>
      </c>
      <c r="I40" s="3" t="s">
        <v>1305</v>
      </c>
      <c r="M40" s="8" t="b">
        <v>1</v>
      </c>
      <c r="N40" s="10"/>
      <c r="P40" s="8" t="b">
        <v>1</v>
      </c>
      <c r="Q40" s="10">
        <v>45699</v>
      </c>
      <c r="S40" s="8" t="b">
        <v>0</v>
      </c>
      <c r="T40" s="10">
        <v>45742</v>
      </c>
      <c r="V40" s="8" t="b">
        <v>1</v>
      </c>
      <c r="W40" s="3" t="s">
        <v>1289</v>
      </c>
    </row>
    <row r="41" spans="1:23">
      <c r="A41" s="20"/>
      <c r="B41" s="20"/>
      <c r="C41" s="20" t="s">
        <v>1307</v>
      </c>
      <c r="D41" s="20"/>
      <c r="E41" s="23"/>
      <c r="I41" s="3" t="s">
        <v>1305</v>
      </c>
      <c r="M41" s="8" t="b">
        <v>1</v>
      </c>
      <c r="N41" s="10"/>
      <c r="P41" s="8" t="b">
        <v>1</v>
      </c>
      <c r="Q41" s="10">
        <v>45699</v>
      </c>
      <c r="S41" s="8" t="b">
        <v>0</v>
      </c>
      <c r="T41" s="10">
        <v>45742</v>
      </c>
      <c r="V41" s="8" t="b">
        <v>1</v>
      </c>
      <c r="W41" s="3" t="s">
        <v>1289</v>
      </c>
    </row>
    <row r="42" spans="1:23">
      <c r="A42" s="20"/>
      <c r="B42" s="20"/>
      <c r="C42" s="20" t="s">
        <v>1308</v>
      </c>
      <c r="D42" s="20"/>
      <c r="E42" s="23"/>
      <c r="I42" s="3" t="s">
        <v>1305</v>
      </c>
      <c r="M42" s="8" t="b">
        <v>1</v>
      </c>
      <c r="N42" s="10"/>
      <c r="P42" s="8" t="b">
        <v>1</v>
      </c>
      <c r="Q42" s="10">
        <v>45699</v>
      </c>
      <c r="S42" s="8" t="b">
        <v>0</v>
      </c>
      <c r="T42" s="10">
        <v>45742</v>
      </c>
      <c r="V42" s="8" t="b">
        <v>1</v>
      </c>
      <c r="W42" s="3" t="s">
        <v>1289</v>
      </c>
    </row>
    <row r="43" spans="1:23">
      <c r="A43" s="20"/>
      <c r="B43" s="20"/>
      <c r="C43" s="20" t="s">
        <v>1309</v>
      </c>
      <c r="D43" s="20"/>
      <c r="E43" s="23"/>
      <c r="I43" s="3" t="s">
        <v>1305</v>
      </c>
      <c r="M43" s="8" t="b">
        <v>1</v>
      </c>
      <c r="N43" s="10"/>
      <c r="P43" s="8" t="b">
        <v>1</v>
      </c>
      <c r="Q43" s="10">
        <v>45699</v>
      </c>
      <c r="S43" s="8" t="b">
        <v>0</v>
      </c>
      <c r="T43" s="10">
        <v>45742</v>
      </c>
      <c r="V43" s="8" t="b">
        <v>1</v>
      </c>
      <c r="W43" s="3" t="s">
        <v>1289</v>
      </c>
    </row>
    <row r="44" spans="1:23">
      <c r="A44" s="20"/>
      <c r="B44" s="20"/>
      <c r="C44" s="20" t="s">
        <v>1310</v>
      </c>
      <c r="D44" s="20"/>
      <c r="E44" s="23"/>
      <c r="M44" s="8" t="b">
        <v>0</v>
      </c>
      <c r="N44" s="10"/>
      <c r="P44" s="8" t="b">
        <v>0</v>
      </c>
      <c r="S44" s="8" t="b">
        <v>0</v>
      </c>
      <c r="V44" s="8" t="b">
        <v>0</v>
      </c>
    </row>
    <row r="45" spans="1:23">
      <c r="A45" s="20" t="s">
        <v>1311</v>
      </c>
      <c r="B45" s="20"/>
      <c r="C45" s="20" t="s">
        <v>1312</v>
      </c>
      <c r="D45" s="20"/>
      <c r="E45" s="23"/>
      <c r="G45" s="13">
        <f>210 + 200</f>
        <v>410</v>
      </c>
      <c r="M45" s="8" t="b">
        <v>0</v>
      </c>
      <c r="N45" s="10"/>
      <c r="P45" s="8" t="b">
        <v>0</v>
      </c>
      <c r="S45" s="8" t="b">
        <v>0</v>
      </c>
      <c r="V45" s="8" t="b">
        <v>0</v>
      </c>
    </row>
    <row r="46" spans="1:23">
      <c r="A46" s="20"/>
      <c r="B46" s="20"/>
      <c r="C46" s="20"/>
      <c r="D46" s="20"/>
      <c r="E46" s="23"/>
      <c r="M46" s="1"/>
      <c r="N46" s="10"/>
      <c r="P46" s="1"/>
      <c r="S46" s="1"/>
      <c r="V46" s="1"/>
    </row>
    <row r="47" spans="1:23">
      <c r="A47" s="20"/>
      <c r="B47" s="20"/>
      <c r="C47" s="20"/>
      <c r="D47" s="20"/>
      <c r="E47" s="23"/>
      <c r="M47" s="1"/>
      <c r="N47" s="10"/>
      <c r="P47" s="1"/>
      <c r="S47" s="1"/>
      <c r="V47" s="1"/>
    </row>
    <row r="48" spans="1:23">
      <c r="A48" s="20" t="s">
        <v>270</v>
      </c>
      <c r="B48" s="20"/>
      <c r="C48" s="20" t="s">
        <v>1313</v>
      </c>
      <c r="D48" s="20"/>
      <c r="E48" s="23">
        <v>1050</v>
      </c>
      <c r="I48" s="22" t="s">
        <v>1314</v>
      </c>
      <c r="M48" s="9" t="b">
        <v>0</v>
      </c>
      <c r="P48" s="9" t="b">
        <v>0</v>
      </c>
      <c r="S48" s="9" t="b">
        <v>0</v>
      </c>
      <c r="V48" s="9" t="b">
        <v>0</v>
      </c>
    </row>
    <row r="49" spans="1:22">
      <c r="A49" s="20"/>
      <c r="B49" s="20"/>
      <c r="C49" s="20"/>
      <c r="D49" s="20"/>
      <c r="E49" s="23"/>
      <c r="I49" s="22"/>
      <c r="M49" s="18"/>
      <c r="P49" s="18"/>
      <c r="S49" s="18"/>
      <c r="V49" s="18"/>
    </row>
    <row r="50" spans="1:22">
      <c r="A50" s="20"/>
      <c r="B50" s="20"/>
      <c r="C50" s="20"/>
      <c r="D50" s="20"/>
      <c r="E50" s="23"/>
      <c r="I50" s="22"/>
      <c r="M50" s="18"/>
      <c r="P50" s="18"/>
      <c r="S50" s="18"/>
      <c r="V50" s="18"/>
    </row>
    <row r="51" spans="1:22">
      <c r="A51" s="20"/>
      <c r="B51" s="20"/>
      <c r="C51" s="20"/>
      <c r="D51" s="20"/>
      <c r="E51" s="23"/>
      <c r="M51" s="18"/>
      <c r="P51" s="18"/>
      <c r="S51" s="18"/>
      <c r="V51" s="18"/>
    </row>
    <row r="52" spans="1:22">
      <c r="A52" s="20"/>
      <c r="B52" s="20"/>
      <c r="C52" s="20"/>
      <c r="D52" s="20"/>
      <c r="E52" s="23"/>
      <c r="M52" s="1"/>
      <c r="N52" s="10"/>
      <c r="P52" s="1"/>
      <c r="S52" s="1"/>
      <c r="V52" s="1"/>
    </row>
    <row r="53" spans="1:22">
      <c r="A53" s="20"/>
      <c r="B53" s="20"/>
      <c r="C53" s="20"/>
      <c r="D53" s="20"/>
      <c r="E53" s="23"/>
      <c r="M53" s="1"/>
      <c r="P53" s="1"/>
      <c r="S53" s="1"/>
      <c r="V53" s="1"/>
    </row>
    <row r="54" spans="1:22" s="5" customFormat="1">
      <c r="B54" s="4"/>
      <c r="E54" s="11">
        <f>SUM(E5:E53)</f>
        <v>6100</v>
      </c>
      <c r="F54" s="11"/>
      <c r="G54" s="11">
        <f>SUM(G5:G53)</f>
        <v>2581.9899999999998</v>
      </c>
      <c r="L54" s="3"/>
      <c r="M54" s="1"/>
      <c r="N54" s="3"/>
      <c r="P54" s="1"/>
      <c r="S54" s="1"/>
      <c r="V54" s="1"/>
    </row>
    <row r="55" spans="1:22" s="5" customFormat="1">
      <c r="B55" s="4"/>
      <c r="E55" s="11"/>
      <c r="F55" s="11"/>
      <c r="G55" s="11"/>
      <c r="L55" s="3"/>
      <c r="M55" s="1"/>
      <c r="N55" s="3"/>
      <c r="P55" s="1"/>
      <c r="S55" s="1"/>
      <c r="V55" s="1"/>
    </row>
    <row r="56" spans="1:22" s="5" customFormat="1">
      <c r="B56" s="1"/>
      <c r="C56" s="3"/>
      <c r="D56" s="3"/>
      <c r="E56" s="13"/>
      <c r="F56" s="11"/>
      <c r="G56" s="11"/>
      <c r="L56" s="3"/>
      <c r="M56" s="1"/>
      <c r="N56" s="3"/>
      <c r="P56" s="1"/>
      <c r="S56" s="1"/>
      <c r="V56" s="1"/>
    </row>
    <row r="57" spans="1:22" s="5" customFormat="1">
      <c r="B57" s="1"/>
      <c r="C57" s="3"/>
      <c r="D57" s="3"/>
      <c r="E57" s="13"/>
      <c r="F57" s="11"/>
      <c r="G57" s="11"/>
      <c r="L57" s="3"/>
      <c r="M57" s="1"/>
      <c r="N57" s="3"/>
      <c r="P57" s="1"/>
      <c r="S57" s="1"/>
      <c r="V57" s="1"/>
    </row>
    <row r="58" spans="1:22" s="5" customFormat="1">
      <c r="B58" s="1"/>
      <c r="C58" s="3"/>
      <c r="D58" s="3"/>
      <c r="E58" s="13"/>
      <c r="F58" s="11"/>
      <c r="G58" s="11"/>
      <c r="L58" s="3"/>
      <c r="M58" s="1"/>
      <c r="N58" s="3"/>
      <c r="P58" s="1"/>
      <c r="S58" s="1"/>
      <c r="V58" s="1"/>
    </row>
    <row r="59" spans="1:22" s="5" customFormat="1">
      <c r="B59" s="1"/>
      <c r="C59" s="3"/>
      <c r="D59" s="3"/>
      <c r="E59" s="13"/>
      <c r="F59" s="11"/>
      <c r="G59" s="11"/>
      <c r="L59" s="3"/>
      <c r="M59" s="1"/>
      <c r="N59" s="3"/>
      <c r="P59" s="1"/>
      <c r="S59" s="1"/>
      <c r="V59" s="1"/>
    </row>
    <row r="60" spans="1:22">
      <c r="B60" s="1"/>
      <c r="M60" s="1"/>
      <c r="P60" s="1"/>
      <c r="S60" s="1"/>
      <c r="V60" s="1"/>
    </row>
    <row r="61" spans="1:22">
      <c r="B61" s="1"/>
      <c r="M61" s="1"/>
      <c r="P61" s="1"/>
      <c r="S61" s="1"/>
      <c r="V61" s="1"/>
    </row>
    <row r="62" spans="1:22">
      <c r="B62" s="1"/>
      <c r="M62" s="1"/>
      <c r="P62" s="1"/>
      <c r="S62" s="1"/>
      <c r="V62" s="1"/>
    </row>
    <row r="63" spans="1:22">
      <c r="B63" s="1"/>
      <c r="M63" s="1"/>
      <c r="P63" s="1"/>
      <c r="S63" s="1"/>
      <c r="V63" s="1"/>
    </row>
    <row r="64" spans="1:22">
      <c r="B64" s="1"/>
      <c r="M64" s="1"/>
      <c r="P64" s="1"/>
      <c r="S64" s="1"/>
      <c r="V64" s="1"/>
    </row>
    <row r="65" spans="2:22">
      <c r="B65" s="18"/>
      <c r="M65" s="1"/>
      <c r="P65" s="1"/>
      <c r="S65" s="1"/>
      <c r="V65" s="1"/>
    </row>
    <row r="66" spans="2:22">
      <c r="B66" s="1"/>
      <c r="L66" s="5"/>
      <c r="M66" s="1"/>
      <c r="N66" s="5"/>
      <c r="P66" s="1"/>
      <c r="S66" s="1"/>
      <c r="V66" s="1"/>
    </row>
    <row r="67" spans="2:22">
      <c r="B67" s="1"/>
      <c r="L67" s="5"/>
      <c r="M67" s="1"/>
      <c r="N67" s="5"/>
      <c r="P67" s="1"/>
      <c r="S67" s="1"/>
      <c r="V67" s="1"/>
    </row>
    <row r="68" spans="2:22">
      <c r="B68" s="1"/>
      <c r="L68" s="5"/>
      <c r="M68" s="1"/>
      <c r="N68" s="5"/>
      <c r="P68" s="1"/>
      <c r="S68" s="1"/>
      <c r="V68" s="1"/>
    </row>
    <row r="69" spans="2:22">
      <c r="B69" s="1"/>
      <c r="L69" s="5"/>
      <c r="M69" s="1"/>
      <c r="N69" s="5"/>
      <c r="P69" s="1"/>
      <c r="S69" s="1"/>
      <c r="V69" s="1"/>
    </row>
    <row r="70" spans="2:22">
      <c r="B70" s="1"/>
      <c r="M70" s="1"/>
      <c r="P70" s="1"/>
      <c r="S70" s="1"/>
      <c r="V70" s="1"/>
    </row>
    <row r="71" spans="2:22">
      <c r="B71" s="1"/>
      <c r="M71" s="2"/>
      <c r="P71" s="2"/>
      <c r="S71" s="2"/>
      <c r="V71" s="2"/>
    </row>
    <row r="72" spans="2:22" s="5" customFormat="1">
      <c r="B72" s="4"/>
      <c r="E72" s="11"/>
      <c r="F72" s="11"/>
      <c r="G72" s="11"/>
      <c r="M72" s="14"/>
      <c r="P72" s="14"/>
      <c r="S72" s="14"/>
      <c r="V72" s="14"/>
    </row>
    <row r="73" spans="2:22" s="5" customFormat="1">
      <c r="B73" s="4"/>
      <c r="E73" s="11"/>
      <c r="F73" s="11"/>
      <c r="G73" s="11"/>
      <c r="L73" s="3"/>
      <c r="M73" s="2"/>
      <c r="N73" s="3"/>
      <c r="P73" s="2"/>
      <c r="S73" s="2"/>
      <c r="V73" s="2"/>
    </row>
    <row r="74" spans="2:22" s="5" customFormat="1">
      <c r="B74" s="1"/>
      <c r="C74" s="3"/>
      <c r="D74" s="3"/>
      <c r="E74" s="13"/>
      <c r="F74" s="11"/>
      <c r="G74" s="11"/>
      <c r="M74" s="4"/>
      <c r="P74" s="4"/>
      <c r="S74" s="4"/>
      <c r="V74" s="4"/>
    </row>
    <row r="75" spans="2:22" s="5" customFormat="1">
      <c r="B75" s="1"/>
      <c r="C75" s="3"/>
      <c r="D75" s="3"/>
      <c r="E75" s="13"/>
      <c r="F75" s="11"/>
      <c r="G75" s="11"/>
      <c r="M75" s="4"/>
      <c r="P75" s="4"/>
      <c r="S75" s="4"/>
      <c r="V75" s="4"/>
    </row>
    <row r="76" spans="2:22">
      <c r="B76" s="1"/>
      <c r="L76" s="5"/>
      <c r="M76" s="4"/>
      <c r="N76" s="5"/>
      <c r="P76" s="4"/>
      <c r="S76" s="4"/>
      <c r="V76" s="4"/>
    </row>
    <row r="77" spans="2:22">
      <c r="B77" s="1"/>
      <c r="L77" s="5"/>
      <c r="M77" s="1"/>
      <c r="N77" s="5"/>
      <c r="P77" s="1"/>
      <c r="S77" s="1"/>
      <c r="V77" s="1"/>
    </row>
    <row r="78" spans="2:22">
      <c r="B78" s="1"/>
      <c r="L78" s="5"/>
      <c r="M78" s="1"/>
      <c r="N78" s="5"/>
      <c r="P78" s="1"/>
      <c r="S78" s="1"/>
      <c r="V78" s="1"/>
    </row>
    <row r="79" spans="2:22">
      <c r="B79" s="1"/>
      <c r="M79" s="1"/>
      <c r="P79" s="1"/>
      <c r="S79" s="1"/>
      <c r="V79" s="1"/>
    </row>
    <row r="80" spans="2:22">
      <c r="B80" s="1"/>
      <c r="M80" s="1"/>
      <c r="P80" s="1"/>
      <c r="S80" s="1"/>
      <c r="V80" s="1"/>
    </row>
    <row r="81" spans="2:22">
      <c r="B81" s="1"/>
      <c r="M81" s="1"/>
      <c r="P81" s="1"/>
      <c r="S81" s="1"/>
      <c r="V81" s="1"/>
    </row>
    <row r="82" spans="2:22">
      <c r="B82" s="1"/>
      <c r="M82" s="1"/>
      <c r="P82" s="1"/>
      <c r="S82" s="1"/>
      <c r="V82" s="1"/>
    </row>
    <row r="83" spans="2:22">
      <c r="B83" s="1"/>
      <c r="M83" s="1"/>
      <c r="P83" s="1"/>
      <c r="S83" s="1"/>
      <c r="V83" s="1"/>
    </row>
    <row r="84" spans="2:22">
      <c r="B84" s="1"/>
      <c r="M84" s="1"/>
      <c r="P84" s="1"/>
      <c r="S84" s="1"/>
      <c r="V84" s="1"/>
    </row>
    <row r="85" spans="2:22">
      <c r="B85" s="1"/>
      <c r="M85" s="1"/>
      <c r="P85" s="1"/>
      <c r="S85" s="1"/>
      <c r="V85" s="1"/>
    </row>
    <row r="86" spans="2:22">
      <c r="B86" s="1"/>
      <c r="M86" s="1"/>
      <c r="P86" s="1"/>
      <c r="S86" s="1"/>
      <c r="V86" s="1"/>
    </row>
    <row r="87" spans="2:22">
      <c r="M87" s="1"/>
      <c r="P87" s="1"/>
      <c r="S87" s="1"/>
      <c r="V87" s="1"/>
    </row>
    <row r="88" spans="2:22">
      <c r="M88" s="1"/>
      <c r="P88" s="1"/>
      <c r="S88" s="1"/>
      <c r="V88" s="1"/>
    </row>
    <row r="89" spans="2:22">
      <c r="M89" s="1"/>
      <c r="P89" s="1"/>
      <c r="S89" s="1"/>
      <c r="V89" s="1"/>
    </row>
  </sheetData>
  <pageMargins left="0.7" right="0.7" top="0.75" bottom="0.75" header="0.3" footer="0.3"/>
  <pageSetup paperSize="311" orientation="portrait" horizontalDpi="203" verticalDpi="203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74FB-2AAB-42F6-AD25-5A07372DFBB3}">
  <dimension ref="A1:R128"/>
  <sheetViews>
    <sheetView workbookViewId="0">
      <pane ySplit="2" topLeftCell="A38" activePane="bottomLeft" state="frozen"/>
      <selection pane="bottomLeft" activeCell="S38" sqref="S38"/>
    </sheetView>
  </sheetViews>
  <sheetFormatPr defaultColWidth="8.85546875" defaultRowHeight="15.95"/>
  <cols>
    <col min="1" max="1" width="34.7109375" style="3" customWidth="1"/>
    <col min="2" max="2" width="8.85546875" style="3"/>
    <col min="3" max="3" width="70.5703125" style="3" customWidth="1"/>
    <col min="4" max="4" width="1.5703125" style="3" customWidth="1"/>
    <col min="5" max="5" width="14.5703125" style="13" customWidth="1"/>
    <col min="6" max="6" width="2.140625" style="3" customWidth="1"/>
    <col min="7" max="7" width="14.5703125" style="13" customWidth="1"/>
    <col min="8" max="8" width="2.140625" style="3" customWidth="1"/>
    <col min="9" max="9" width="26.5703125" style="3" customWidth="1"/>
    <col min="10" max="10" width="2.42578125" style="3" customWidth="1"/>
    <col min="11" max="11" width="13.7109375" style="3" customWidth="1"/>
    <col min="12" max="12" width="2.7109375" style="3" customWidth="1"/>
    <col min="13" max="13" width="13.7109375" style="3" customWidth="1"/>
    <col min="14" max="14" width="2.7109375" style="3" customWidth="1"/>
    <col min="15" max="15" width="11.42578125" style="3" customWidth="1"/>
    <col min="16" max="16" width="2.140625" style="3" customWidth="1"/>
    <col min="17" max="17" width="20.28515625" style="3" customWidth="1"/>
    <col min="18" max="18" width="30.28515625" style="3" customWidth="1"/>
    <col min="19" max="16384" width="8.85546875" style="3"/>
  </cols>
  <sheetData>
    <row r="1" spans="1:18" s="5" customFormat="1">
      <c r="A1" s="4" t="s">
        <v>109</v>
      </c>
      <c r="E1" s="11"/>
      <c r="G1" s="11"/>
    </row>
    <row r="2" spans="1:18" s="5" customFormat="1" ht="47.65">
      <c r="B2" s="4"/>
      <c r="E2" s="12" t="s">
        <v>111</v>
      </c>
      <c r="G2" s="12" t="s">
        <v>68</v>
      </c>
      <c r="I2" s="6" t="s">
        <v>5</v>
      </c>
      <c r="J2" s="6"/>
      <c r="K2" s="7" t="s">
        <v>591</v>
      </c>
      <c r="M2" s="7" t="s">
        <v>69</v>
      </c>
      <c r="O2" s="7" t="s">
        <v>70</v>
      </c>
      <c r="Q2" s="5" t="s">
        <v>1315</v>
      </c>
      <c r="R2" s="5" t="s">
        <v>1262</v>
      </c>
    </row>
    <row r="3" spans="1:18" s="5" customFormat="1">
      <c r="A3" s="4" t="s">
        <v>73</v>
      </c>
      <c r="E3" s="11"/>
      <c r="G3" s="11"/>
    </row>
    <row r="4" spans="1:18">
      <c r="B4" s="1"/>
    </row>
    <row r="5" spans="1:18">
      <c r="B5" s="8" t="b">
        <v>0</v>
      </c>
      <c r="C5" s="3" t="s">
        <v>1263</v>
      </c>
      <c r="E5" s="13">
        <v>150</v>
      </c>
      <c r="L5" s="16" t="b">
        <v>0</v>
      </c>
      <c r="N5" s="16" t="b">
        <v>0</v>
      </c>
    </row>
    <row r="6" spans="1:18">
      <c r="A6" s="3" t="s">
        <v>113</v>
      </c>
      <c r="B6" s="8" t="b">
        <v>0</v>
      </c>
      <c r="C6" s="3" t="s">
        <v>1066</v>
      </c>
      <c r="E6" s="13">
        <v>3700</v>
      </c>
      <c r="L6" s="16" t="b">
        <v>0</v>
      </c>
      <c r="N6" s="16" t="b">
        <v>0</v>
      </c>
    </row>
    <row r="7" spans="1:18">
      <c r="A7" s="3" t="s">
        <v>115</v>
      </c>
      <c r="B7" s="8" t="b">
        <v>0</v>
      </c>
      <c r="C7" s="3" t="s">
        <v>1067</v>
      </c>
      <c r="L7" s="16" t="b">
        <v>0</v>
      </c>
      <c r="N7" s="16" t="b">
        <v>0</v>
      </c>
    </row>
    <row r="8" spans="1:18">
      <c r="A8" s="3" t="s">
        <v>115</v>
      </c>
      <c r="B8" s="8" t="b">
        <v>0</v>
      </c>
      <c r="C8" s="3" t="s">
        <v>1068</v>
      </c>
      <c r="L8" s="16" t="b">
        <v>0</v>
      </c>
      <c r="N8" s="16" t="b">
        <v>0</v>
      </c>
    </row>
    <row r="9" spans="1:18">
      <c r="A9" s="3" t="s">
        <v>115</v>
      </c>
      <c r="B9" s="8" t="b">
        <v>0</v>
      </c>
      <c r="C9" s="3" t="s">
        <v>119</v>
      </c>
      <c r="L9" s="16" t="b">
        <v>0</v>
      </c>
      <c r="N9" s="16" t="b">
        <v>0</v>
      </c>
    </row>
    <row r="10" spans="1:18">
      <c r="A10" s="3" t="s">
        <v>115</v>
      </c>
      <c r="B10" s="8" t="b">
        <v>0</v>
      </c>
      <c r="C10" s="3" t="s">
        <v>1069</v>
      </c>
      <c r="L10" s="16" t="b">
        <v>0</v>
      </c>
      <c r="N10" s="16" t="b">
        <v>0</v>
      </c>
    </row>
    <row r="11" spans="1:18">
      <c r="A11" s="3" t="s">
        <v>1070</v>
      </c>
      <c r="B11" s="8" t="b">
        <v>0</v>
      </c>
      <c r="C11" s="3" t="s">
        <v>1071</v>
      </c>
      <c r="L11" s="16" t="b">
        <v>0</v>
      </c>
      <c r="N11" s="16" t="b">
        <v>0</v>
      </c>
    </row>
    <row r="12" spans="1:18">
      <c r="A12" s="3" t="s">
        <v>1070</v>
      </c>
      <c r="B12" s="8" t="b">
        <v>0</v>
      </c>
      <c r="C12" s="3" t="s">
        <v>1072</v>
      </c>
      <c r="L12" s="16" t="b">
        <v>0</v>
      </c>
      <c r="N12" s="16" t="b">
        <v>0</v>
      </c>
    </row>
    <row r="13" spans="1:18">
      <c r="A13" s="3" t="s">
        <v>1073</v>
      </c>
      <c r="B13" s="8" t="b">
        <v>0</v>
      </c>
      <c r="C13" s="3" t="s">
        <v>1316</v>
      </c>
      <c r="L13" s="16" t="b">
        <v>0</v>
      </c>
      <c r="N13" s="16" t="b">
        <v>0</v>
      </c>
    </row>
    <row r="14" spans="1:18">
      <c r="A14" s="3" t="s">
        <v>1073</v>
      </c>
      <c r="B14" s="8" t="b">
        <v>0</v>
      </c>
      <c r="C14" s="3" t="s">
        <v>1317</v>
      </c>
      <c r="L14" s="16" t="b">
        <v>0</v>
      </c>
      <c r="N14" s="16" t="b">
        <v>0</v>
      </c>
    </row>
    <row r="15" spans="1:18">
      <c r="A15" s="3" t="s">
        <v>1073</v>
      </c>
      <c r="B15" s="8" t="b">
        <v>0</v>
      </c>
      <c r="C15" s="3" t="s">
        <v>1076</v>
      </c>
      <c r="L15" s="16" t="b">
        <v>0</v>
      </c>
      <c r="N15" s="16" t="b">
        <v>0</v>
      </c>
    </row>
    <row r="16" spans="1:18">
      <c r="A16" s="3" t="s">
        <v>1077</v>
      </c>
      <c r="B16" s="8" t="b">
        <v>0</v>
      </c>
      <c r="C16" s="3" t="s">
        <v>1078</v>
      </c>
      <c r="L16" s="16" t="b">
        <v>0</v>
      </c>
      <c r="N16" s="16" t="b">
        <v>0</v>
      </c>
    </row>
    <row r="17" spans="1:14">
      <c r="A17" s="3" t="s">
        <v>1079</v>
      </c>
      <c r="B17" s="8" t="b">
        <v>0</v>
      </c>
      <c r="C17" s="3" t="s">
        <v>1080</v>
      </c>
      <c r="L17" s="16" t="b">
        <v>0</v>
      </c>
      <c r="N17" s="16" t="b">
        <v>0</v>
      </c>
    </row>
    <row r="18" spans="1:14">
      <c r="B18" s="8" t="b">
        <v>0</v>
      </c>
      <c r="C18" s="3" t="s">
        <v>1081</v>
      </c>
      <c r="L18" s="16" t="b">
        <v>0</v>
      </c>
      <c r="N18" s="16" t="b">
        <v>0</v>
      </c>
    </row>
    <row r="19" spans="1:14">
      <c r="B19" s="8" t="b">
        <v>0</v>
      </c>
      <c r="L19" s="16" t="b">
        <v>0</v>
      </c>
      <c r="N19" s="16" t="b">
        <v>0</v>
      </c>
    </row>
    <row r="20" spans="1:14">
      <c r="B20" s="1"/>
      <c r="J20" s="5"/>
      <c r="K20" s="5"/>
    </row>
    <row r="21" spans="1:14">
      <c r="A21" s="3" t="s">
        <v>1083</v>
      </c>
      <c r="B21" s="8" t="b">
        <v>0</v>
      </c>
      <c r="C21" s="3" t="s">
        <v>1318</v>
      </c>
      <c r="E21" s="13">
        <v>5000</v>
      </c>
      <c r="J21" s="5"/>
      <c r="K21" s="5"/>
      <c r="L21" s="16" t="b">
        <v>0</v>
      </c>
      <c r="N21" s="16" t="b">
        <v>0</v>
      </c>
    </row>
    <row r="22" spans="1:14">
      <c r="A22" s="3" t="s">
        <v>1087</v>
      </c>
      <c r="B22" s="8" t="b">
        <v>0</v>
      </c>
      <c r="C22" s="3" t="s">
        <v>1319</v>
      </c>
      <c r="E22" s="13">
        <v>2500</v>
      </c>
      <c r="J22" s="5"/>
      <c r="K22" s="5"/>
      <c r="L22" s="16" t="b">
        <v>0</v>
      </c>
      <c r="N22" s="16" t="b">
        <v>0</v>
      </c>
    </row>
    <row r="23" spans="1:14">
      <c r="A23" s="3" t="s">
        <v>1089</v>
      </c>
      <c r="B23" s="8" t="b">
        <v>0</v>
      </c>
      <c r="C23" s="3" t="s">
        <v>1090</v>
      </c>
      <c r="E23" s="13">
        <v>1400</v>
      </c>
      <c r="J23" s="5"/>
      <c r="K23" s="5"/>
      <c r="L23" s="16" t="b">
        <v>0</v>
      </c>
      <c r="N23" s="16" t="b">
        <v>0</v>
      </c>
    </row>
    <row r="24" spans="1:14">
      <c r="A24" s="3" t="s">
        <v>1118</v>
      </c>
      <c r="B24" s="8" t="b">
        <v>0</v>
      </c>
      <c r="C24" s="3" t="s">
        <v>1320</v>
      </c>
      <c r="E24" s="13">
        <v>700</v>
      </c>
      <c r="L24" s="16" t="b">
        <v>0</v>
      </c>
      <c r="N24" s="16" t="b">
        <v>0</v>
      </c>
    </row>
    <row r="25" spans="1:14">
      <c r="B25" s="8" t="b">
        <v>0</v>
      </c>
      <c r="C25" s="3" t="s">
        <v>1321</v>
      </c>
      <c r="L25" s="16" t="b">
        <v>0</v>
      </c>
      <c r="N25" s="16" t="b">
        <v>0</v>
      </c>
    </row>
    <row r="26" spans="1:14">
      <c r="B26" s="8" t="b">
        <v>0</v>
      </c>
      <c r="C26" s="3" t="s">
        <v>1322</v>
      </c>
      <c r="L26" s="16" t="b">
        <v>0</v>
      </c>
      <c r="N26" s="16" t="b">
        <v>0</v>
      </c>
    </row>
    <row r="27" spans="1:14">
      <c r="B27" s="8" t="b">
        <v>0</v>
      </c>
      <c r="C27" s="3" t="s">
        <v>1323</v>
      </c>
      <c r="L27" s="16" t="b">
        <v>0</v>
      </c>
      <c r="N27" s="16" t="b">
        <v>0</v>
      </c>
    </row>
    <row r="28" spans="1:14">
      <c r="B28" s="8" t="b">
        <v>0</v>
      </c>
      <c r="L28" s="16" t="b">
        <v>0</v>
      </c>
      <c r="N28" s="16" t="b">
        <v>0</v>
      </c>
    </row>
    <row r="29" spans="1:14">
      <c r="B29" s="8" t="b">
        <v>0</v>
      </c>
      <c r="L29" s="16" t="b">
        <v>0</v>
      </c>
      <c r="N29" s="16" t="b">
        <v>0</v>
      </c>
    </row>
    <row r="30" spans="1:14">
      <c r="L30" s="16" t="b">
        <v>0</v>
      </c>
      <c r="M30" s="5"/>
      <c r="N30" s="16" t="b">
        <v>0</v>
      </c>
    </row>
    <row r="31" spans="1:14">
      <c r="A31" s="3" t="s">
        <v>1324</v>
      </c>
      <c r="B31" s="8" t="b">
        <v>0</v>
      </c>
      <c r="C31" s="3" t="s">
        <v>1093</v>
      </c>
      <c r="E31" s="13" t="s">
        <v>156</v>
      </c>
      <c r="L31" s="16" t="b">
        <v>0</v>
      </c>
      <c r="M31" s="5"/>
      <c r="N31" s="16" t="b">
        <v>0</v>
      </c>
    </row>
    <row r="32" spans="1:14">
      <c r="A32" s="3" t="s">
        <v>1094</v>
      </c>
      <c r="B32" s="8" t="b">
        <v>0</v>
      </c>
      <c r="C32" s="3" t="s">
        <v>1093</v>
      </c>
      <c r="E32" s="13" t="s">
        <v>156</v>
      </c>
      <c r="L32" s="16" t="b">
        <v>0</v>
      </c>
      <c r="M32" s="5"/>
      <c r="N32" s="16" t="b">
        <v>0</v>
      </c>
    </row>
    <row r="33" spans="1:14">
      <c r="A33" s="3" t="s">
        <v>1095</v>
      </c>
      <c r="B33" s="8" t="b">
        <v>0</v>
      </c>
      <c r="C33" s="3" t="s">
        <v>1096</v>
      </c>
      <c r="E33" s="13" t="s">
        <v>156</v>
      </c>
      <c r="L33" s="16" t="b">
        <v>0</v>
      </c>
      <c r="M33" s="5"/>
      <c r="N33" s="16" t="b">
        <v>0</v>
      </c>
    </row>
    <row r="34" spans="1:14">
      <c r="A34" s="3" t="s">
        <v>1097</v>
      </c>
      <c r="B34" s="8" t="b">
        <v>0</v>
      </c>
      <c r="C34" s="3" t="s">
        <v>1098</v>
      </c>
      <c r="E34" s="13" t="s">
        <v>156</v>
      </c>
      <c r="L34" s="16" t="b">
        <v>0</v>
      </c>
      <c r="N34" s="16" t="b">
        <v>0</v>
      </c>
    </row>
    <row r="35" spans="1:14">
      <c r="A35" s="3" t="s">
        <v>1099</v>
      </c>
      <c r="B35" s="8" t="b">
        <v>0</v>
      </c>
      <c r="C35" s="3" t="s">
        <v>1100</v>
      </c>
      <c r="E35" s="13" t="s">
        <v>156</v>
      </c>
      <c r="L35" s="16" t="b">
        <v>0</v>
      </c>
      <c r="N35" s="16" t="b">
        <v>0</v>
      </c>
    </row>
    <row r="36" spans="1:14">
      <c r="B36" s="1"/>
      <c r="L36" s="16" t="b">
        <v>0</v>
      </c>
      <c r="N36" s="16" t="b">
        <v>0</v>
      </c>
    </row>
    <row r="37" spans="1:14">
      <c r="A37" s="3" t="s">
        <v>1101</v>
      </c>
      <c r="B37" s="8" t="b">
        <v>0</v>
      </c>
      <c r="C37" s="3" t="s">
        <v>1102</v>
      </c>
      <c r="L37" s="16" t="b">
        <v>0</v>
      </c>
      <c r="N37" s="16" t="b">
        <v>0</v>
      </c>
    </row>
    <row r="38" spans="1:14">
      <c r="B38" s="8" t="b">
        <v>0</v>
      </c>
      <c r="C38" s="3" t="s">
        <v>1103</v>
      </c>
      <c r="L38" s="16" t="b">
        <v>0</v>
      </c>
      <c r="N38" s="16" t="b">
        <v>0</v>
      </c>
    </row>
    <row r="39" spans="1:14">
      <c r="B39" s="8" t="b">
        <v>0</v>
      </c>
      <c r="C39" s="3" t="s">
        <v>1104</v>
      </c>
      <c r="L39" s="16" t="b">
        <v>0</v>
      </c>
      <c r="N39" s="16" t="b">
        <v>0</v>
      </c>
    </row>
    <row r="40" spans="1:14">
      <c r="B40" s="8" t="b">
        <v>0</v>
      </c>
      <c r="C40" s="3" t="s">
        <v>1105</v>
      </c>
      <c r="L40" s="16" t="b">
        <v>0</v>
      </c>
      <c r="N40" s="16" t="b">
        <v>0</v>
      </c>
    </row>
    <row r="41" spans="1:14">
      <c r="B41" s="8" t="b">
        <v>0</v>
      </c>
      <c r="C41" s="3" t="s">
        <v>170</v>
      </c>
      <c r="L41" s="16" t="b">
        <v>0</v>
      </c>
      <c r="N41" s="16" t="b">
        <v>0</v>
      </c>
    </row>
    <row r="42" spans="1:14">
      <c r="B42" s="8" t="b">
        <v>0</v>
      </c>
      <c r="C42" s="3" t="s">
        <v>1325</v>
      </c>
      <c r="L42" s="16" t="b">
        <v>0</v>
      </c>
      <c r="N42" s="16" t="b">
        <v>0</v>
      </c>
    </row>
    <row r="43" spans="1:14">
      <c r="B43" s="8" t="b">
        <v>0</v>
      </c>
      <c r="L43" s="16" t="b">
        <v>0</v>
      </c>
      <c r="N43" s="16" t="b">
        <v>0</v>
      </c>
    </row>
    <row r="44" spans="1:14">
      <c r="B44" s="1"/>
    </row>
    <row r="45" spans="1:14">
      <c r="A45" s="3" t="s">
        <v>122</v>
      </c>
      <c r="B45" s="8" t="b">
        <v>0</v>
      </c>
      <c r="C45" s="3" t="s">
        <v>126</v>
      </c>
      <c r="L45" s="16" t="b">
        <v>0</v>
      </c>
      <c r="N45" s="16" t="b">
        <v>0</v>
      </c>
    </row>
    <row r="46" spans="1:14">
      <c r="B46" s="8" t="b">
        <v>0</v>
      </c>
      <c r="C46" s="3" t="s">
        <v>28</v>
      </c>
      <c r="L46" s="16" t="b">
        <v>0</v>
      </c>
      <c r="N46" s="16" t="b">
        <v>0</v>
      </c>
    </row>
    <row r="47" spans="1:14">
      <c r="B47" s="8" t="b">
        <v>0</v>
      </c>
      <c r="C47" s="3" t="s">
        <v>1108</v>
      </c>
      <c r="L47" s="16" t="b">
        <v>0</v>
      </c>
      <c r="N47" s="16" t="b">
        <v>0</v>
      </c>
    </row>
    <row r="48" spans="1:14">
      <c r="B48" s="8" t="b">
        <v>0</v>
      </c>
      <c r="C48" s="3" t="s">
        <v>35</v>
      </c>
      <c r="L48" s="16" t="b">
        <v>0</v>
      </c>
      <c r="N48" s="16" t="b">
        <v>0</v>
      </c>
    </row>
    <row r="49" spans="1:14">
      <c r="B49" s="8" t="b">
        <v>0</v>
      </c>
      <c r="C49" s="3" t="s">
        <v>1111</v>
      </c>
      <c r="L49" s="16" t="b">
        <v>0</v>
      </c>
      <c r="N49" s="16" t="b">
        <v>0</v>
      </c>
    </row>
    <row r="50" spans="1:14">
      <c r="B50" s="8" t="b">
        <v>0</v>
      </c>
      <c r="C50" s="15" t="s">
        <v>1112</v>
      </c>
      <c r="L50" s="16" t="b">
        <v>0</v>
      </c>
      <c r="N50" s="16" t="b">
        <v>0</v>
      </c>
    </row>
    <row r="51" spans="1:14">
      <c r="B51" s="8" t="b">
        <v>0</v>
      </c>
      <c r="C51" s="3" t="s">
        <v>173</v>
      </c>
      <c r="L51" s="16" t="b">
        <v>0</v>
      </c>
      <c r="N51" s="16" t="b">
        <v>0</v>
      </c>
    </row>
    <row r="52" spans="1:14">
      <c r="B52" s="8" t="b">
        <v>0</v>
      </c>
      <c r="C52" s="3" t="s">
        <v>1114</v>
      </c>
      <c r="L52" s="16" t="b">
        <v>0</v>
      </c>
      <c r="N52" s="16" t="b">
        <v>0</v>
      </c>
    </row>
    <row r="53" spans="1:14">
      <c r="B53" s="8" t="b">
        <v>0</v>
      </c>
      <c r="L53" s="16" t="b">
        <v>0</v>
      </c>
      <c r="N53" s="16" t="b">
        <v>0</v>
      </c>
    </row>
    <row r="54" spans="1:14">
      <c r="B54" s="8" t="b">
        <v>0</v>
      </c>
      <c r="L54" s="16" t="b">
        <v>0</v>
      </c>
      <c r="N54" s="16" t="b">
        <v>0</v>
      </c>
    </row>
    <row r="55" spans="1:14">
      <c r="B55" s="8" t="b">
        <v>0</v>
      </c>
      <c r="L55" s="16" t="b">
        <v>0</v>
      </c>
      <c r="N55" s="16" t="b">
        <v>0</v>
      </c>
    </row>
    <row r="56" spans="1:14">
      <c r="B56" s="1"/>
    </row>
    <row r="57" spans="1:14">
      <c r="A57" s="3" t="s">
        <v>154</v>
      </c>
      <c r="B57" s="8" t="b">
        <v>0</v>
      </c>
      <c r="C57" s="3" t="s">
        <v>1326</v>
      </c>
      <c r="L57" s="16" t="b">
        <v>0</v>
      </c>
      <c r="N57" s="16" t="b">
        <v>0</v>
      </c>
    </row>
    <row r="58" spans="1:14">
      <c r="B58" s="8" t="b">
        <v>0</v>
      </c>
      <c r="C58" s="3" t="s">
        <v>1327</v>
      </c>
      <c r="L58" s="16" t="b">
        <v>0</v>
      </c>
      <c r="N58" s="16" t="b">
        <v>0</v>
      </c>
    </row>
    <row r="59" spans="1:14">
      <c r="B59" s="8" t="b">
        <v>0</v>
      </c>
      <c r="C59" s="3" t="s">
        <v>1328</v>
      </c>
      <c r="L59" s="16" t="b">
        <v>0</v>
      </c>
      <c r="N59" s="16" t="b">
        <v>0</v>
      </c>
    </row>
    <row r="60" spans="1:14">
      <c r="B60" s="8" t="b">
        <v>0</v>
      </c>
      <c r="C60" s="3" t="s">
        <v>1329</v>
      </c>
      <c r="L60" s="16" t="b">
        <v>0</v>
      </c>
      <c r="N60" s="16" t="b">
        <v>0</v>
      </c>
    </row>
    <row r="61" spans="1:14">
      <c r="B61" s="8" t="b">
        <v>0</v>
      </c>
      <c r="C61" s="3" t="s">
        <v>1330</v>
      </c>
      <c r="L61" s="16" t="b">
        <v>0</v>
      </c>
      <c r="N61" s="16" t="b">
        <v>0</v>
      </c>
    </row>
    <row r="62" spans="1:14">
      <c r="B62" s="8" t="b">
        <v>0</v>
      </c>
      <c r="C62" s="3" t="s">
        <v>1331</v>
      </c>
      <c r="L62" s="16" t="b">
        <v>0</v>
      </c>
      <c r="N62" s="16" t="b">
        <v>0</v>
      </c>
    </row>
    <row r="63" spans="1:14">
      <c r="B63" s="8" t="b">
        <v>0</v>
      </c>
      <c r="L63" s="16" t="b">
        <v>0</v>
      </c>
      <c r="N63" s="16" t="b">
        <v>0</v>
      </c>
    </row>
    <row r="64" spans="1:14">
      <c r="B64" s="8" t="b">
        <v>0</v>
      </c>
      <c r="L64" s="16" t="b">
        <v>0</v>
      </c>
      <c r="N64" s="16" t="b">
        <v>0</v>
      </c>
    </row>
    <row r="65" spans="1:14">
      <c r="B65" s="1"/>
    </row>
    <row r="66" spans="1:14">
      <c r="B66" s="1"/>
      <c r="N66" s="16"/>
    </row>
    <row r="67" spans="1:14">
      <c r="A67" s="3" t="s">
        <v>169</v>
      </c>
      <c r="B67" s="8" t="b">
        <v>0</v>
      </c>
      <c r="C67" s="3" t="s">
        <v>1126</v>
      </c>
      <c r="L67" s="16" t="b">
        <v>0</v>
      </c>
      <c r="N67" s="16" t="b">
        <v>0</v>
      </c>
    </row>
    <row r="68" spans="1:14">
      <c r="B68" s="8" t="b">
        <v>0</v>
      </c>
      <c r="C68" s="3" t="s">
        <v>1127</v>
      </c>
      <c r="L68" s="16" t="b">
        <v>0</v>
      </c>
      <c r="N68" s="16" t="b">
        <v>0</v>
      </c>
    </row>
    <row r="69" spans="1:14">
      <c r="B69" s="8" t="b">
        <v>0</v>
      </c>
      <c r="C69" s="3" t="s">
        <v>1103</v>
      </c>
      <c r="L69" s="16" t="b">
        <v>0</v>
      </c>
      <c r="N69" s="16" t="b">
        <v>0</v>
      </c>
    </row>
    <row r="70" spans="1:14">
      <c r="B70" s="8" t="b">
        <v>0</v>
      </c>
      <c r="C70" s="3" t="s">
        <v>170</v>
      </c>
      <c r="L70" s="16" t="b">
        <v>0</v>
      </c>
      <c r="N70" s="16" t="b">
        <v>0</v>
      </c>
    </row>
    <row r="71" spans="1:14">
      <c r="B71" s="8" t="b">
        <v>0</v>
      </c>
      <c r="C71" s="3" t="s">
        <v>1128</v>
      </c>
      <c r="L71" s="16" t="b">
        <v>0</v>
      </c>
      <c r="N71" s="16" t="b">
        <v>0</v>
      </c>
    </row>
    <row r="72" spans="1:14">
      <c r="B72" s="8" t="b">
        <v>0</v>
      </c>
      <c r="C72" s="3" t="s">
        <v>1129</v>
      </c>
      <c r="L72" s="16" t="b">
        <v>0</v>
      </c>
      <c r="N72" s="16" t="b">
        <v>0</v>
      </c>
    </row>
    <row r="73" spans="1:14">
      <c r="B73" s="8" t="b">
        <v>0</v>
      </c>
      <c r="C73" s="3" t="s">
        <v>1131</v>
      </c>
      <c r="L73" s="16" t="b">
        <v>0</v>
      </c>
      <c r="N73" s="16" t="b">
        <v>0</v>
      </c>
    </row>
    <row r="74" spans="1:14">
      <c r="B74" s="8" t="b">
        <v>0</v>
      </c>
      <c r="C74" s="3" t="s">
        <v>173</v>
      </c>
      <c r="L74" s="16" t="b">
        <v>0</v>
      </c>
      <c r="N74" s="16" t="b">
        <v>0</v>
      </c>
    </row>
    <row r="75" spans="1:14">
      <c r="B75" s="8" t="b">
        <v>0</v>
      </c>
      <c r="C75" s="3" t="s">
        <v>174</v>
      </c>
      <c r="L75" s="16" t="b">
        <v>0</v>
      </c>
      <c r="N75" s="16" t="b">
        <v>0</v>
      </c>
    </row>
    <row r="76" spans="1:14">
      <c r="B76" s="8" t="b">
        <v>0</v>
      </c>
      <c r="C76" s="3" t="s">
        <v>1332</v>
      </c>
      <c r="L76" s="16" t="b">
        <v>0</v>
      </c>
      <c r="N76" s="16" t="b">
        <v>0</v>
      </c>
    </row>
    <row r="77" spans="1:14">
      <c r="B77" s="8" t="b">
        <v>0</v>
      </c>
      <c r="C77" s="3" t="s">
        <v>1333</v>
      </c>
      <c r="L77" s="16" t="b">
        <v>0</v>
      </c>
      <c r="N77" s="16" t="b">
        <v>0</v>
      </c>
    </row>
    <row r="78" spans="1:14">
      <c r="B78" s="8" t="b">
        <v>0</v>
      </c>
      <c r="L78" s="16" t="b">
        <v>0</v>
      </c>
      <c r="N78" s="16" t="b">
        <v>0</v>
      </c>
    </row>
    <row r="79" spans="1:14">
      <c r="B79" s="8" t="b">
        <v>0</v>
      </c>
      <c r="L79" s="16" t="b">
        <v>0</v>
      </c>
      <c r="N79" s="16" t="b">
        <v>0</v>
      </c>
    </row>
    <row r="80" spans="1:14">
      <c r="B80" s="1"/>
    </row>
    <row r="81" spans="1:14">
      <c r="A81" s="3" t="s">
        <v>1140</v>
      </c>
      <c r="B81" s="8" t="b">
        <v>0</v>
      </c>
      <c r="C81" s="3" t="s">
        <v>1141</v>
      </c>
      <c r="L81" s="16" t="b">
        <v>0</v>
      </c>
      <c r="N81" s="16" t="b">
        <v>0</v>
      </c>
    </row>
    <row r="82" spans="1:14">
      <c r="B82" s="1"/>
    </row>
    <row r="83" spans="1:14">
      <c r="B83" s="1"/>
      <c r="L83" s="16" t="b">
        <v>0</v>
      </c>
      <c r="N83" s="16" t="b">
        <v>0</v>
      </c>
    </row>
    <row r="84" spans="1:14">
      <c r="A84" s="3" t="s">
        <v>1143</v>
      </c>
      <c r="B84" s="8" t="b">
        <v>0</v>
      </c>
      <c r="C84" s="3" t="s">
        <v>1144</v>
      </c>
      <c r="L84" s="16" t="b">
        <v>0</v>
      </c>
      <c r="N84" s="16" t="b">
        <v>0</v>
      </c>
    </row>
    <row r="85" spans="1:14">
      <c r="B85" s="8" t="b">
        <v>0</v>
      </c>
      <c r="C85" s="3" t="s">
        <v>1145</v>
      </c>
      <c r="L85" s="16" t="b">
        <v>0</v>
      </c>
      <c r="N85" s="16" t="b">
        <v>0</v>
      </c>
    </row>
    <row r="86" spans="1:14">
      <c r="B86" s="8" t="b">
        <v>0</v>
      </c>
      <c r="C86" s="3" t="s">
        <v>1127</v>
      </c>
      <c r="L86" s="16" t="b">
        <v>0</v>
      </c>
      <c r="N86" s="16" t="b">
        <v>0</v>
      </c>
    </row>
    <row r="87" spans="1:14">
      <c r="B87" s="8" t="b">
        <v>0</v>
      </c>
      <c r="C87" s="3" t="s">
        <v>1103</v>
      </c>
      <c r="L87" s="16" t="b">
        <v>0</v>
      </c>
      <c r="N87" s="16" t="b">
        <v>0</v>
      </c>
    </row>
    <row r="88" spans="1:14">
      <c r="B88" s="8" t="b">
        <v>0</v>
      </c>
      <c r="C88" s="3" t="s">
        <v>170</v>
      </c>
      <c r="L88" s="16" t="b">
        <v>0</v>
      </c>
      <c r="N88" s="16" t="b">
        <v>0</v>
      </c>
    </row>
    <row r="89" spans="1:14">
      <c r="B89" s="8" t="b">
        <v>0</v>
      </c>
      <c r="C89" s="3" t="s">
        <v>1146</v>
      </c>
      <c r="L89" s="16" t="b">
        <v>0</v>
      </c>
      <c r="N89" s="16" t="b">
        <v>0</v>
      </c>
    </row>
    <row r="90" spans="1:14">
      <c r="B90" s="8" t="b">
        <v>0</v>
      </c>
      <c r="C90" s="3" t="s">
        <v>1147</v>
      </c>
      <c r="L90" s="16" t="b">
        <v>0</v>
      </c>
      <c r="N90" s="16" t="b">
        <v>0</v>
      </c>
    </row>
    <row r="91" spans="1:14">
      <c r="B91" s="8" t="b">
        <v>0</v>
      </c>
      <c r="L91" s="16" t="b">
        <v>0</v>
      </c>
      <c r="N91" s="16" t="b">
        <v>0</v>
      </c>
    </row>
    <row r="92" spans="1:14">
      <c r="B92" s="8" t="b">
        <v>0</v>
      </c>
      <c r="L92" s="16" t="b">
        <v>0</v>
      </c>
      <c r="N92" s="16" t="b">
        <v>0</v>
      </c>
    </row>
    <row r="93" spans="1:14">
      <c r="B93" s="1"/>
    </row>
    <row r="94" spans="1:14">
      <c r="A94" s="3" t="s">
        <v>1148</v>
      </c>
      <c r="B94" s="8" t="b">
        <v>0</v>
      </c>
      <c r="C94" s="3" t="s">
        <v>1149</v>
      </c>
      <c r="L94" s="16" t="b">
        <v>0</v>
      </c>
      <c r="N94" s="16" t="b">
        <v>0</v>
      </c>
    </row>
    <row r="95" spans="1:14" ht="16.899999999999999" customHeight="1">
      <c r="B95" s="8" t="b">
        <v>0</v>
      </c>
      <c r="C95" s="3" t="s">
        <v>1150</v>
      </c>
      <c r="L95" s="16" t="b">
        <v>0</v>
      </c>
      <c r="N95" s="16" t="b">
        <v>0</v>
      </c>
    </row>
    <row r="96" spans="1:14">
      <c r="B96" s="8" t="b">
        <v>0</v>
      </c>
      <c r="C96" s="3" t="s">
        <v>1150</v>
      </c>
      <c r="L96" s="16" t="b">
        <v>0</v>
      </c>
      <c r="N96" s="16" t="b">
        <v>0</v>
      </c>
    </row>
    <row r="97" spans="1:14">
      <c r="B97" s="8" t="b">
        <v>0</v>
      </c>
      <c r="C97" s="3" t="s">
        <v>1103</v>
      </c>
      <c r="L97" s="16" t="b">
        <v>0</v>
      </c>
      <c r="N97" s="16" t="b">
        <v>0</v>
      </c>
    </row>
    <row r="98" spans="1:14">
      <c r="B98" s="8" t="b">
        <v>0</v>
      </c>
      <c r="C98" s="3" t="s">
        <v>1151</v>
      </c>
      <c r="L98" s="16" t="b">
        <v>0</v>
      </c>
      <c r="N98" s="16" t="b">
        <v>0</v>
      </c>
    </row>
    <row r="99" spans="1:14">
      <c r="B99" s="8" t="b">
        <v>0</v>
      </c>
      <c r="C99" s="3" t="s">
        <v>1105</v>
      </c>
      <c r="L99" s="16" t="b">
        <v>0</v>
      </c>
      <c r="N99" s="16" t="b">
        <v>0</v>
      </c>
    </row>
    <row r="100" spans="1:14">
      <c r="B100" s="8" t="b">
        <v>0</v>
      </c>
      <c r="C100" s="3" t="s">
        <v>170</v>
      </c>
      <c r="L100" s="16" t="b">
        <v>0</v>
      </c>
      <c r="N100" s="16" t="b">
        <v>0</v>
      </c>
    </row>
    <row r="101" spans="1:14">
      <c r="B101" s="8" t="b">
        <v>0</v>
      </c>
      <c r="C101" s="3" t="s">
        <v>1152</v>
      </c>
      <c r="L101" s="16" t="b">
        <v>0</v>
      </c>
      <c r="N101" s="16" t="b">
        <v>0</v>
      </c>
    </row>
    <row r="102" spans="1:14">
      <c r="B102" s="8" t="b">
        <v>0</v>
      </c>
      <c r="C102" s="3" t="s">
        <v>1153</v>
      </c>
      <c r="L102" s="16" t="b">
        <v>0</v>
      </c>
      <c r="N102" s="16" t="b">
        <v>0</v>
      </c>
    </row>
    <row r="103" spans="1:14">
      <c r="B103" s="8" t="b">
        <v>0</v>
      </c>
      <c r="I103" s="3" t="s">
        <v>1334</v>
      </c>
      <c r="L103" s="16" t="b">
        <v>0</v>
      </c>
      <c r="N103" s="16" t="b">
        <v>0</v>
      </c>
    </row>
    <row r="104" spans="1:14">
      <c r="A104" s="3" t="s">
        <v>1154</v>
      </c>
      <c r="B104" s="8" t="b">
        <v>0</v>
      </c>
      <c r="C104" s="3" t="s">
        <v>1335</v>
      </c>
      <c r="I104" s="3" t="s">
        <v>1336</v>
      </c>
      <c r="L104" s="16" t="b">
        <v>0</v>
      </c>
      <c r="N104" s="16" t="b">
        <v>0</v>
      </c>
    </row>
    <row r="105" spans="1:14">
      <c r="B105" s="8" t="b">
        <v>0</v>
      </c>
      <c r="C105" s="3" t="s">
        <v>1337</v>
      </c>
      <c r="L105" s="16" t="b">
        <v>0</v>
      </c>
      <c r="N105" s="16" t="b">
        <v>0</v>
      </c>
    </row>
    <row r="106" spans="1:14">
      <c r="B106" s="8" t="b">
        <v>0</v>
      </c>
      <c r="C106" s="3" t="s">
        <v>1158</v>
      </c>
      <c r="I106" s="3" t="s">
        <v>1338</v>
      </c>
      <c r="L106" s="16" t="b">
        <v>0</v>
      </c>
      <c r="N106" s="16" t="b">
        <v>0</v>
      </c>
    </row>
    <row r="107" spans="1:14">
      <c r="B107" s="8" t="b">
        <v>0</v>
      </c>
      <c r="C107" s="3" t="s">
        <v>1339</v>
      </c>
      <c r="L107" s="16" t="b">
        <v>0</v>
      </c>
      <c r="N107" s="16" t="b">
        <v>0</v>
      </c>
    </row>
    <row r="108" spans="1:14">
      <c r="B108" s="8" t="b">
        <v>0</v>
      </c>
      <c r="C108" s="3" t="s">
        <v>1169</v>
      </c>
      <c r="L108" s="16" t="b">
        <v>0</v>
      </c>
      <c r="N108" s="16" t="b">
        <v>0</v>
      </c>
    </row>
    <row r="109" spans="1:14">
      <c r="B109" s="8" t="b">
        <v>0</v>
      </c>
      <c r="L109" s="16" t="b">
        <v>0</v>
      </c>
      <c r="N109" s="16" t="b">
        <v>0</v>
      </c>
    </row>
    <row r="110" spans="1:14">
      <c r="B110" s="1"/>
      <c r="L110" s="16" t="b">
        <v>0</v>
      </c>
      <c r="N110" s="16" t="b">
        <v>0</v>
      </c>
    </row>
    <row r="111" spans="1:14">
      <c r="A111" s="3" t="s">
        <v>1161</v>
      </c>
      <c r="B111" s="8" t="b">
        <v>0</v>
      </c>
      <c r="C111" s="3" t="s">
        <v>1162</v>
      </c>
      <c r="L111" s="16" t="b">
        <v>0</v>
      </c>
      <c r="N111" s="16" t="b">
        <v>0</v>
      </c>
    </row>
    <row r="112" spans="1:14">
      <c r="B112" s="8" t="b">
        <v>0</v>
      </c>
      <c r="C112" s="3" t="s">
        <v>1163</v>
      </c>
      <c r="L112" s="16" t="b">
        <v>0</v>
      </c>
      <c r="N112" s="16" t="b">
        <v>0</v>
      </c>
    </row>
    <row r="113" spans="1:14">
      <c r="B113" s="8" t="b">
        <v>0</v>
      </c>
      <c r="L113" s="16" t="b">
        <v>0</v>
      </c>
      <c r="N113" s="16" t="b">
        <v>0</v>
      </c>
    </row>
    <row r="114" spans="1:14">
      <c r="B114" s="8" t="b">
        <v>0</v>
      </c>
      <c r="L114" s="16" t="b">
        <v>0</v>
      </c>
      <c r="N114" s="16" t="b">
        <v>0</v>
      </c>
    </row>
    <row r="115" spans="1:14">
      <c r="B115" s="1"/>
      <c r="L115" s="16" t="b">
        <v>0</v>
      </c>
      <c r="N115" s="16" t="b">
        <v>0</v>
      </c>
    </row>
    <row r="116" spans="1:14">
      <c r="A116" s="3" t="s">
        <v>1340</v>
      </c>
      <c r="B116" s="9" t="b">
        <v>0</v>
      </c>
      <c r="C116" s="3" t="s">
        <v>1166</v>
      </c>
      <c r="L116" s="16" t="b">
        <v>0</v>
      </c>
      <c r="N116" s="16" t="b">
        <v>0</v>
      </c>
    </row>
    <row r="117" spans="1:14">
      <c r="B117" s="8" t="b">
        <v>0</v>
      </c>
      <c r="C117" s="3" t="s">
        <v>1341</v>
      </c>
      <c r="L117" s="16" t="b">
        <v>0</v>
      </c>
      <c r="N117" s="16" t="b">
        <v>0</v>
      </c>
    </row>
    <row r="118" spans="1:14">
      <c r="B118" s="8" t="b">
        <v>0</v>
      </c>
      <c r="C118" s="3" t="s">
        <v>1169</v>
      </c>
      <c r="L118" s="16" t="b">
        <v>0</v>
      </c>
      <c r="N118" s="16" t="b">
        <v>0</v>
      </c>
    </row>
    <row r="119" spans="1:14">
      <c r="B119" s="8" t="b">
        <v>0</v>
      </c>
      <c r="C119" s="3" t="s">
        <v>1342</v>
      </c>
      <c r="L119" s="16" t="b">
        <v>0</v>
      </c>
      <c r="N119" s="16" t="b">
        <v>0</v>
      </c>
    </row>
    <row r="120" spans="1:14">
      <c r="B120" s="8" t="b">
        <v>0</v>
      </c>
      <c r="C120" s="3" t="s">
        <v>1343</v>
      </c>
      <c r="L120" s="16" t="b">
        <v>0</v>
      </c>
      <c r="N120" s="16" t="b">
        <v>0</v>
      </c>
    </row>
    <row r="121" spans="1:14">
      <c r="B121" s="8" t="b">
        <v>0</v>
      </c>
      <c r="L121" s="16" t="b">
        <v>0</v>
      </c>
      <c r="N121" s="16" t="b">
        <v>0</v>
      </c>
    </row>
    <row r="122" spans="1:14">
      <c r="B122" s="8" t="b">
        <v>0</v>
      </c>
      <c r="L122" s="16" t="b">
        <v>0</v>
      </c>
      <c r="N122" s="16" t="b">
        <v>0</v>
      </c>
    </row>
    <row r="123" spans="1:14">
      <c r="B123" s="8" t="b">
        <v>0</v>
      </c>
      <c r="L123" s="16" t="b">
        <v>0</v>
      </c>
      <c r="N123" s="16" t="b">
        <v>0</v>
      </c>
    </row>
    <row r="124" spans="1:14">
      <c r="B124" s="8" t="b">
        <v>0</v>
      </c>
      <c r="L124" s="16" t="b">
        <v>0</v>
      </c>
      <c r="N124" s="16" t="b">
        <v>0</v>
      </c>
    </row>
    <row r="125" spans="1:14">
      <c r="B125" s="2"/>
      <c r="E125" s="11">
        <f>SUM(E6:E124)</f>
        <v>13300</v>
      </c>
      <c r="G125" s="11">
        <f>SUM(G5:G124)</f>
        <v>0</v>
      </c>
    </row>
    <row r="126" spans="1:14">
      <c r="B126" s="2"/>
    </row>
    <row r="127" spans="1:14">
      <c r="B127" s="2"/>
    </row>
    <row r="128" spans="1:14" s="5" customFormat="1">
      <c r="A128" s="4"/>
      <c r="C128" s="3"/>
      <c r="E128" s="11"/>
      <c r="G128" s="11"/>
      <c r="I128" s="3"/>
      <c r="J128" s="3"/>
      <c r="K128" s="3"/>
      <c r="L128" s="3"/>
      <c r="M128" s="3"/>
    </row>
  </sheetData>
  <pageMargins left="0.7" right="0.7" top="0.75" bottom="0.75" header="0.3" footer="0.3"/>
  <pageSetup orientation="portrait" horizontalDpi="203" verticalDpi="203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EE90-100E-454F-B5AD-6AB1BE2EA677}">
  <dimension ref="A1:X91"/>
  <sheetViews>
    <sheetView topLeftCell="C1" workbookViewId="0">
      <pane ySplit="2" topLeftCell="A3" activePane="bottomLeft" state="frozen"/>
      <selection pane="bottomLeft" activeCell="C55" sqref="C55"/>
      <selection activeCell="C1" sqref="C1"/>
    </sheetView>
  </sheetViews>
  <sheetFormatPr defaultColWidth="8.85546875" defaultRowHeight="15.95"/>
  <cols>
    <col min="1" max="1" width="12.7109375" style="3" customWidth="1"/>
    <col min="2" max="2" width="9.140625" style="3"/>
    <col min="3" max="3" width="60.28515625" style="3" customWidth="1"/>
    <col min="4" max="4" width="2.7109375" style="3" customWidth="1"/>
    <col min="5" max="5" width="18.140625" style="3" customWidth="1"/>
    <col min="6" max="6" width="1.85546875" style="3" customWidth="1"/>
    <col min="7" max="7" width="20" style="3" customWidth="1"/>
    <col min="8" max="8" width="2.7109375" style="3" customWidth="1"/>
    <col min="9" max="9" width="26.5703125" style="3" customWidth="1"/>
    <col min="10" max="10" width="2.42578125" style="3" customWidth="1"/>
    <col min="11" max="11" width="13.7109375" style="3" customWidth="1"/>
    <col min="12" max="12" width="2.42578125" style="3" customWidth="1"/>
    <col min="13" max="13" width="9.140625" style="3"/>
    <col min="14" max="14" width="13.7109375" style="3" customWidth="1"/>
    <col min="15" max="15" width="2.7109375" style="3" customWidth="1"/>
    <col min="16" max="16" width="9.140625" style="3"/>
    <col min="17" max="17" width="13.7109375" style="3" customWidth="1"/>
    <col min="18" max="18" width="2.7109375" style="3" customWidth="1"/>
    <col min="19" max="19" width="9.140625" style="3"/>
    <col min="20" max="20" width="11.42578125" style="3" customWidth="1"/>
    <col min="21" max="21" width="2.140625" style="3" customWidth="1"/>
    <col min="22" max="22" width="9.140625" style="3"/>
    <col min="23" max="23" width="11.42578125" style="3" customWidth="1"/>
    <col min="24" max="24" width="32.5703125" style="3" customWidth="1"/>
    <col min="25" max="25" width="21.42578125" style="3" customWidth="1"/>
    <col min="26" max="16384" width="8.85546875" style="3"/>
  </cols>
  <sheetData>
    <row r="1" spans="1:24" s="5" customFormat="1">
      <c r="A1" s="4" t="s">
        <v>560</v>
      </c>
      <c r="M1" s="4"/>
      <c r="P1" s="4"/>
      <c r="S1" s="4"/>
      <c r="V1" s="4"/>
    </row>
    <row r="2" spans="1:24" s="5" customFormat="1" ht="47.65">
      <c r="B2" s="4"/>
      <c r="E2" s="6" t="s">
        <v>67</v>
      </c>
      <c r="F2" s="6"/>
      <c r="G2" s="6" t="s">
        <v>68</v>
      </c>
      <c r="H2" s="6"/>
      <c r="I2" s="6" t="s">
        <v>5</v>
      </c>
      <c r="J2" s="6"/>
      <c r="K2" s="7" t="s">
        <v>591</v>
      </c>
      <c r="L2" s="6"/>
      <c r="M2" s="17"/>
      <c r="N2" s="7" t="s">
        <v>193</v>
      </c>
      <c r="P2" s="17"/>
      <c r="Q2" s="7" t="s">
        <v>69</v>
      </c>
      <c r="S2" s="17"/>
      <c r="T2" s="7" t="s">
        <v>70</v>
      </c>
      <c r="V2" s="17"/>
      <c r="W2" s="7" t="s">
        <v>71</v>
      </c>
      <c r="X2" s="6" t="s">
        <v>72</v>
      </c>
    </row>
    <row r="3" spans="1:24" s="5" customFormat="1">
      <c r="A3" s="4" t="s">
        <v>73</v>
      </c>
    </row>
    <row r="4" spans="1:24">
      <c r="B4" s="1"/>
      <c r="M4" s="1"/>
      <c r="P4" s="1"/>
      <c r="S4" s="1"/>
      <c r="V4" s="1"/>
    </row>
    <row r="5" spans="1:24">
      <c r="A5" s="20"/>
      <c r="B5" s="20"/>
      <c r="C5" s="20"/>
      <c r="D5" s="20"/>
      <c r="M5" s="1"/>
      <c r="P5" s="1"/>
      <c r="S5" s="1"/>
      <c r="V5" s="1"/>
    </row>
    <row r="6" spans="1:24">
      <c r="A6" s="20"/>
      <c r="B6" s="20"/>
      <c r="C6" s="20" t="s">
        <v>562</v>
      </c>
      <c r="D6" s="20"/>
      <c r="M6" s="8" t="b">
        <v>0</v>
      </c>
      <c r="P6" s="8" t="b">
        <v>0</v>
      </c>
      <c r="S6" s="8" t="b">
        <v>0</v>
      </c>
      <c r="V6" s="8" t="b">
        <v>0</v>
      </c>
    </row>
    <row r="7" spans="1:24">
      <c r="A7" s="20"/>
      <c r="B7" s="20"/>
      <c r="C7" s="20"/>
      <c r="D7" s="20"/>
      <c r="M7" s="8" t="b">
        <v>0</v>
      </c>
      <c r="N7" s="10"/>
      <c r="P7" s="8" t="b">
        <v>0</v>
      </c>
      <c r="Q7" s="10"/>
      <c r="S7" s="8" t="b">
        <v>0</v>
      </c>
      <c r="V7" s="8" t="b">
        <v>0</v>
      </c>
    </row>
    <row r="8" spans="1:24">
      <c r="A8" s="20"/>
      <c r="B8" s="20"/>
      <c r="C8" s="20"/>
      <c r="D8" s="20"/>
      <c r="M8" s="8" t="b">
        <v>0</v>
      </c>
      <c r="N8" s="10"/>
      <c r="P8" s="8" t="b">
        <v>0</v>
      </c>
      <c r="Q8" s="10"/>
      <c r="S8" s="8" t="b">
        <v>0</v>
      </c>
      <c r="V8" s="8" t="b">
        <v>0</v>
      </c>
    </row>
    <row r="9" spans="1:24">
      <c r="A9" s="20"/>
      <c r="B9" s="20"/>
      <c r="C9" s="20"/>
      <c r="D9" s="20"/>
      <c r="M9" s="8" t="b">
        <v>0</v>
      </c>
      <c r="P9" s="8" t="b">
        <v>0</v>
      </c>
      <c r="S9" s="8" t="b">
        <v>0</v>
      </c>
      <c r="V9" s="8" t="b">
        <v>0</v>
      </c>
    </row>
    <row r="10" spans="1:24">
      <c r="A10" s="20"/>
      <c r="B10" s="20"/>
      <c r="C10" s="20"/>
      <c r="D10" s="20"/>
      <c r="M10" s="8" t="b">
        <v>0</v>
      </c>
      <c r="P10" s="8" t="b">
        <v>0</v>
      </c>
      <c r="S10" s="8" t="b">
        <v>0</v>
      </c>
      <c r="V10" s="8" t="b">
        <v>0</v>
      </c>
    </row>
    <row r="11" spans="1:24">
      <c r="A11" s="20"/>
      <c r="B11" s="20"/>
      <c r="C11" s="20"/>
      <c r="D11" s="20"/>
      <c r="M11" s="8" t="b">
        <v>0</v>
      </c>
      <c r="P11" s="8" t="b">
        <v>0</v>
      </c>
      <c r="S11" s="8" t="b">
        <v>0</v>
      </c>
      <c r="V11" s="8" t="b">
        <v>0</v>
      </c>
    </row>
    <row r="12" spans="1:24">
      <c r="A12" s="20"/>
      <c r="B12" s="20"/>
      <c r="C12" s="20"/>
      <c r="D12" s="20"/>
      <c r="M12" s="8" t="b">
        <v>0</v>
      </c>
      <c r="P12" s="8" t="b">
        <v>0</v>
      </c>
      <c r="S12" s="8" t="b">
        <v>0</v>
      </c>
      <c r="V12" s="8" t="b">
        <v>0</v>
      </c>
    </row>
    <row r="13" spans="1:24">
      <c r="A13" s="20"/>
      <c r="B13" s="20"/>
      <c r="C13" s="20"/>
      <c r="D13" s="20"/>
      <c r="M13" s="8" t="b">
        <v>0</v>
      </c>
      <c r="P13" s="8" t="b">
        <v>0</v>
      </c>
      <c r="S13" s="8" t="b">
        <v>0</v>
      </c>
      <c r="V13" s="8" t="b">
        <v>0</v>
      </c>
    </row>
    <row r="14" spans="1:24">
      <c r="A14" s="20"/>
      <c r="B14" s="20"/>
      <c r="C14" s="20"/>
      <c r="D14" s="20"/>
      <c r="M14" s="8" t="b">
        <v>0</v>
      </c>
      <c r="P14" s="8" t="b">
        <v>0</v>
      </c>
      <c r="S14" s="8" t="b">
        <v>0</v>
      </c>
      <c r="V14" s="8" t="b">
        <v>0</v>
      </c>
    </row>
    <row r="15" spans="1:24">
      <c r="A15" s="20"/>
      <c r="B15" s="20"/>
      <c r="C15" s="20"/>
      <c r="D15" s="20"/>
      <c r="M15" s="8" t="b">
        <v>0</v>
      </c>
      <c r="P15" s="8" t="b">
        <v>0</v>
      </c>
      <c r="Q15" s="10"/>
      <c r="S15" s="8" t="b">
        <v>0</v>
      </c>
      <c r="V15" s="8" t="b">
        <v>0</v>
      </c>
    </row>
    <row r="16" spans="1:24">
      <c r="A16" s="20" t="s">
        <v>563</v>
      </c>
      <c r="B16" s="20"/>
      <c r="C16" s="20" t="s">
        <v>82</v>
      </c>
      <c r="D16" s="20"/>
      <c r="M16" s="8" t="b">
        <v>0</v>
      </c>
      <c r="N16" s="10"/>
      <c r="P16" s="8" t="b">
        <v>0</v>
      </c>
      <c r="Q16" s="10"/>
      <c r="S16" s="8" t="b">
        <v>0</v>
      </c>
      <c r="T16" s="10"/>
      <c r="V16" s="8" t="b">
        <v>0</v>
      </c>
    </row>
    <row r="17" spans="1:22">
      <c r="A17" s="20"/>
      <c r="B17" s="20"/>
      <c r="C17" s="20" t="s">
        <v>206</v>
      </c>
      <c r="D17" s="20"/>
      <c r="M17" s="8" t="b">
        <v>0</v>
      </c>
      <c r="N17" s="10"/>
      <c r="P17" s="8" t="b">
        <v>0</v>
      </c>
      <c r="Q17" s="10"/>
      <c r="S17" s="8" t="b">
        <v>0</v>
      </c>
      <c r="T17" s="10"/>
      <c r="V17" s="8" t="b">
        <v>0</v>
      </c>
    </row>
    <row r="18" spans="1:22">
      <c r="A18" s="20"/>
      <c r="B18" s="20"/>
      <c r="C18" s="20" t="s">
        <v>28</v>
      </c>
      <c r="D18" s="20"/>
      <c r="M18" s="8" t="b">
        <v>0</v>
      </c>
      <c r="N18" s="10"/>
      <c r="P18" s="8" t="b">
        <v>0</v>
      </c>
      <c r="Q18" s="10"/>
      <c r="S18" s="8" t="b">
        <v>0</v>
      </c>
      <c r="T18" s="10"/>
      <c r="V18" s="8" t="b">
        <v>0</v>
      </c>
    </row>
    <row r="19" spans="1:22">
      <c r="A19" s="20"/>
      <c r="B19" s="20"/>
      <c r="C19" s="20" t="s">
        <v>1250</v>
      </c>
      <c r="D19" s="20"/>
      <c r="M19" s="8" t="b">
        <v>0</v>
      </c>
      <c r="N19" s="10"/>
      <c r="P19" s="8" t="b">
        <v>0</v>
      </c>
      <c r="Q19" s="10"/>
      <c r="S19" s="8" t="b">
        <v>0</v>
      </c>
      <c r="T19" s="10"/>
      <c r="V19" s="8" t="b">
        <v>0</v>
      </c>
    </row>
    <row r="20" spans="1:22">
      <c r="A20" s="20"/>
      <c r="B20" s="20"/>
      <c r="C20" s="20" t="s">
        <v>223</v>
      </c>
      <c r="D20" s="20"/>
      <c r="K20" s="10"/>
      <c r="M20" s="8" t="b">
        <v>0</v>
      </c>
      <c r="N20" s="10"/>
      <c r="P20" s="8" t="b">
        <v>0</v>
      </c>
      <c r="Q20" s="10"/>
      <c r="S20" s="8" t="b">
        <v>0</v>
      </c>
      <c r="T20" s="10"/>
      <c r="V20" s="8" t="b">
        <v>0</v>
      </c>
    </row>
    <row r="21" spans="1:22">
      <c r="A21" s="20"/>
      <c r="B21" s="20"/>
      <c r="C21" s="20" t="s">
        <v>565</v>
      </c>
      <c r="D21" s="20"/>
      <c r="K21" s="10"/>
      <c r="M21" s="8" t="b">
        <v>0</v>
      </c>
      <c r="N21" s="10"/>
      <c r="P21" s="8" t="b">
        <v>0</v>
      </c>
      <c r="Q21" s="10"/>
      <c r="S21" s="8" t="b">
        <v>0</v>
      </c>
      <c r="T21" s="10"/>
      <c r="V21" s="8" t="b">
        <v>0</v>
      </c>
    </row>
    <row r="22" spans="1:22">
      <c r="A22" s="20"/>
      <c r="B22" s="20"/>
      <c r="C22" s="20" t="s">
        <v>566</v>
      </c>
      <c r="D22" s="20"/>
      <c r="M22" s="8" t="b">
        <v>0</v>
      </c>
      <c r="N22" s="10"/>
      <c r="P22" s="8" t="b">
        <v>0</v>
      </c>
      <c r="Q22" s="10"/>
      <c r="S22" s="8" t="b">
        <v>0</v>
      </c>
      <c r="T22" s="10"/>
      <c r="V22" s="8" t="b">
        <v>0</v>
      </c>
    </row>
    <row r="23" spans="1:22">
      <c r="A23" s="20"/>
      <c r="B23" s="20"/>
      <c r="C23" s="20" t="s">
        <v>567</v>
      </c>
      <c r="D23" s="20"/>
      <c r="M23" s="8" t="b">
        <v>0</v>
      </c>
      <c r="N23" s="10"/>
      <c r="P23" s="8" t="b">
        <v>0</v>
      </c>
      <c r="Q23" s="10"/>
      <c r="S23" s="8" t="b">
        <v>0</v>
      </c>
      <c r="T23" s="10"/>
      <c r="V23" s="8" t="b">
        <v>0</v>
      </c>
    </row>
    <row r="24" spans="1:22">
      <c r="A24" s="20"/>
      <c r="B24" s="20"/>
      <c r="C24" s="20" t="s">
        <v>568</v>
      </c>
      <c r="D24" s="20"/>
      <c r="M24" s="8" t="b">
        <v>0</v>
      </c>
      <c r="N24" s="10"/>
      <c r="P24" s="8" t="b">
        <v>0</v>
      </c>
      <c r="Q24" s="10"/>
      <c r="S24" s="8" t="b">
        <v>0</v>
      </c>
      <c r="T24" s="10"/>
      <c r="V24" s="8" t="b">
        <v>0</v>
      </c>
    </row>
    <row r="25" spans="1:22">
      <c r="A25" s="20"/>
      <c r="B25" s="20"/>
      <c r="C25" s="20" t="s">
        <v>569</v>
      </c>
      <c r="D25" s="20"/>
      <c r="K25" s="10"/>
      <c r="M25" s="8" t="b">
        <v>0</v>
      </c>
      <c r="N25" s="10"/>
      <c r="P25" s="8" t="b">
        <v>0</v>
      </c>
      <c r="Q25" s="10"/>
      <c r="S25" s="8" t="b">
        <v>0</v>
      </c>
      <c r="T25" s="10"/>
      <c r="V25" s="8" t="b">
        <v>0</v>
      </c>
    </row>
    <row r="26" spans="1:22">
      <c r="A26" s="20"/>
      <c r="B26" s="20"/>
      <c r="C26" s="20" t="s">
        <v>525</v>
      </c>
      <c r="D26" s="20"/>
      <c r="K26" s="10"/>
      <c r="M26" s="8" t="b">
        <v>0</v>
      </c>
      <c r="N26" s="10"/>
      <c r="P26" s="8" t="b">
        <v>0</v>
      </c>
      <c r="Q26" s="10"/>
      <c r="S26" s="8" t="b">
        <v>0</v>
      </c>
      <c r="T26" s="10"/>
      <c r="V26" s="8" t="b">
        <v>0</v>
      </c>
    </row>
    <row r="27" spans="1:22">
      <c r="A27" s="20"/>
      <c r="B27" s="20"/>
      <c r="C27" s="20" t="s">
        <v>810</v>
      </c>
      <c r="D27" s="20"/>
      <c r="K27" s="10"/>
      <c r="M27" s="8" t="b">
        <v>0</v>
      </c>
      <c r="N27" s="10"/>
      <c r="P27" s="8" t="b">
        <v>0</v>
      </c>
      <c r="Q27" s="10"/>
      <c r="S27" s="8" t="b">
        <v>0</v>
      </c>
      <c r="T27" s="10"/>
      <c r="V27" s="8" t="b">
        <v>0</v>
      </c>
    </row>
    <row r="28" spans="1:22">
      <c r="A28" s="20"/>
      <c r="B28" s="20"/>
      <c r="C28" s="20" t="s">
        <v>1251</v>
      </c>
      <c r="D28" s="20"/>
      <c r="K28" s="10"/>
      <c r="M28" s="8" t="b">
        <v>0</v>
      </c>
      <c r="N28" s="10"/>
      <c r="P28" s="8" t="b">
        <v>0</v>
      </c>
      <c r="Q28" s="10"/>
      <c r="S28" s="8" t="b">
        <v>0</v>
      </c>
      <c r="T28" s="10"/>
      <c r="V28" s="8" t="b">
        <v>0</v>
      </c>
    </row>
    <row r="29" spans="1:22">
      <c r="A29" s="20"/>
      <c r="B29" s="20"/>
      <c r="C29" s="20" t="s">
        <v>87</v>
      </c>
      <c r="D29" s="20"/>
      <c r="K29" s="10"/>
      <c r="M29" s="8" t="b">
        <v>0</v>
      </c>
      <c r="N29" s="10"/>
      <c r="P29" s="8" t="b">
        <v>0</v>
      </c>
      <c r="Q29" s="10"/>
      <c r="S29" s="8" t="b">
        <v>0</v>
      </c>
      <c r="T29" s="10"/>
      <c r="V29" s="8" t="b">
        <v>0</v>
      </c>
    </row>
    <row r="30" spans="1:22">
      <c r="A30" s="20"/>
      <c r="B30" s="20"/>
      <c r="C30" s="20" t="s">
        <v>572</v>
      </c>
      <c r="D30" s="20"/>
      <c r="K30" s="10"/>
      <c r="M30" s="8" t="b">
        <v>0</v>
      </c>
      <c r="N30" s="10"/>
      <c r="P30" s="8" t="b">
        <v>0</v>
      </c>
      <c r="Q30" s="10"/>
      <c r="S30" s="8" t="b">
        <v>0</v>
      </c>
      <c r="T30" s="10"/>
      <c r="V30" s="8" t="b">
        <v>0</v>
      </c>
    </row>
    <row r="31" spans="1:22">
      <c r="A31" s="20"/>
      <c r="B31" s="20"/>
      <c r="C31" s="20" t="s">
        <v>471</v>
      </c>
      <c r="D31" s="20"/>
      <c r="K31" s="10"/>
      <c r="M31" s="8" t="b">
        <v>0</v>
      </c>
      <c r="N31" s="10"/>
      <c r="P31" s="8" t="b">
        <v>0</v>
      </c>
      <c r="Q31" s="10"/>
      <c r="S31" s="8" t="b">
        <v>0</v>
      </c>
      <c r="T31" s="10"/>
      <c r="V31" s="8" t="b">
        <v>0</v>
      </c>
    </row>
    <row r="32" spans="1:22">
      <c r="A32" s="20"/>
      <c r="B32" s="20"/>
      <c r="C32" s="20" t="s">
        <v>573</v>
      </c>
      <c r="D32" s="20"/>
      <c r="K32" s="10"/>
      <c r="M32" s="8" t="b">
        <v>0</v>
      </c>
      <c r="N32" s="10"/>
      <c r="P32" s="8" t="b">
        <v>0</v>
      </c>
      <c r="Q32" s="10"/>
      <c r="S32" s="8" t="b">
        <v>0</v>
      </c>
      <c r="T32" s="10"/>
      <c r="V32" s="8" t="b">
        <v>0</v>
      </c>
    </row>
    <row r="33" spans="1:22">
      <c r="A33" s="20"/>
      <c r="B33" s="20"/>
      <c r="C33" s="20" t="s">
        <v>574</v>
      </c>
      <c r="D33" s="20"/>
      <c r="K33" s="10"/>
      <c r="M33" s="8" t="b">
        <v>0</v>
      </c>
      <c r="N33" s="10"/>
      <c r="P33" s="8" t="b">
        <v>0</v>
      </c>
      <c r="Q33" s="10"/>
      <c r="S33" s="8" t="b">
        <v>0</v>
      </c>
      <c r="T33" s="10"/>
      <c r="V33" s="8" t="b">
        <v>0</v>
      </c>
    </row>
    <row r="34" spans="1:22">
      <c r="A34" s="20"/>
      <c r="B34" s="20"/>
      <c r="C34" s="20" t="s">
        <v>391</v>
      </c>
      <c r="D34" s="20"/>
      <c r="K34" s="10"/>
      <c r="M34" s="8" t="b">
        <v>0</v>
      </c>
      <c r="N34" s="10"/>
      <c r="P34" s="8" t="b">
        <v>0</v>
      </c>
      <c r="Q34" s="10"/>
      <c r="S34" s="8" t="b">
        <v>0</v>
      </c>
      <c r="T34" s="10"/>
      <c r="V34" s="8" t="b">
        <v>0</v>
      </c>
    </row>
    <row r="35" spans="1:22">
      <c r="A35" s="20"/>
      <c r="B35" s="20"/>
      <c r="C35" s="20"/>
      <c r="D35" s="20"/>
      <c r="K35" s="10"/>
      <c r="Q35" s="10"/>
      <c r="S35" s="1"/>
      <c r="V35" s="1"/>
    </row>
    <row r="36" spans="1:22">
      <c r="A36" s="20" t="s">
        <v>324</v>
      </c>
      <c r="B36" s="20"/>
      <c r="C36" s="20" t="s">
        <v>575</v>
      </c>
      <c r="D36" s="20"/>
      <c r="M36" s="8" t="b">
        <v>0</v>
      </c>
      <c r="N36" s="10"/>
      <c r="P36" s="8" t="b">
        <v>0</v>
      </c>
      <c r="Q36" s="10"/>
      <c r="S36" s="8" t="b">
        <v>0</v>
      </c>
      <c r="V36" s="8" t="b">
        <v>0</v>
      </c>
    </row>
    <row r="37" spans="1:22">
      <c r="A37" s="20"/>
      <c r="B37" s="20"/>
      <c r="C37" s="20"/>
      <c r="D37" s="20"/>
      <c r="M37" s="1"/>
      <c r="P37" s="1"/>
    </row>
    <row r="38" spans="1:22">
      <c r="A38" s="20"/>
      <c r="B38" s="20"/>
      <c r="C38" s="20"/>
      <c r="D38" s="20"/>
      <c r="M38" s="18"/>
      <c r="P38" s="18"/>
      <c r="S38" s="18"/>
      <c r="V38" s="18"/>
    </row>
    <row r="39" spans="1:22">
      <c r="A39" s="20"/>
      <c r="B39" s="20"/>
      <c r="C39" s="20"/>
      <c r="D39" s="20"/>
      <c r="M39" s="18"/>
      <c r="P39" s="18"/>
      <c r="S39" s="18"/>
      <c r="V39" s="18"/>
    </row>
    <row r="40" spans="1:22">
      <c r="A40" s="20" t="s">
        <v>407</v>
      </c>
      <c r="B40" s="20"/>
      <c r="C40" s="20" t="s">
        <v>576</v>
      </c>
      <c r="D40" s="20"/>
      <c r="M40" s="8" t="b">
        <v>0</v>
      </c>
      <c r="N40" s="10"/>
      <c r="P40" s="8" t="b">
        <v>0</v>
      </c>
      <c r="Q40" s="10"/>
      <c r="S40" s="8" t="b">
        <v>0</v>
      </c>
      <c r="V40" s="8" t="b">
        <v>0</v>
      </c>
    </row>
    <row r="41" spans="1:22">
      <c r="A41" s="20"/>
      <c r="B41" s="20"/>
      <c r="C41" s="21"/>
      <c r="D41" s="21"/>
      <c r="M41" s="1"/>
      <c r="N41" s="10"/>
      <c r="P41" s="1"/>
      <c r="S41" s="1"/>
      <c r="V41" s="1"/>
    </row>
    <row r="42" spans="1:22">
      <c r="A42" s="20"/>
      <c r="B42" s="20"/>
      <c r="C42" s="20"/>
      <c r="D42" s="20"/>
      <c r="M42" s="1"/>
      <c r="N42" s="10"/>
      <c r="P42" s="1"/>
      <c r="S42" s="1"/>
      <c r="V42" s="1"/>
    </row>
    <row r="43" spans="1:22">
      <c r="A43" s="20" t="s">
        <v>411</v>
      </c>
      <c r="B43" s="20"/>
      <c r="C43" s="20" t="s">
        <v>578</v>
      </c>
      <c r="D43" s="20"/>
      <c r="M43" s="8" t="b">
        <v>0</v>
      </c>
      <c r="N43" s="10"/>
      <c r="P43" s="8" t="b">
        <v>0</v>
      </c>
      <c r="Q43" s="10"/>
      <c r="S43" s="8" t="b">
        <v>0</v>
      </c>
      <c r="V43" s="8" t="b">
        <v>0</v>
      </c>
    </row>
    <row r="44" spans="1:22">
      <c r="A44" s="20"/>
      <c r="B44" s="20"/>
      <c r="C44" s="20"/>
      <c r="D44" s="20"/>
      <c r="M44" s="1"/>
      <c r="N44" s="10"/>
      <c r="P44" s="1"/>
      <c r="S44" s="1"/>
      <c r="V44" s="1"/>
    </row>
    <row r="45" spans="1:22">
      <c r="A45" s="20" t="s">
        <v>543</v>
      </c>
      <c r="B45" s="20"/>
      <c r="C45" s="20"/>
      <c r="D45" s="20"/>
      <c r="M45" s="8" t="b">
        <v>0</v>
      </c>
      <c r="N45" s="10"/>
      <c r="P45" s="8" t="b">
        <v>0</v>
      </c>
      <c r="Q45" s="10"/>
      <c r="S45" s="8" t="b">
        <v>0</v>
      </c>
      <c r="V45" s="8" t="b">
        <v>0</v>
      </c>
    </row>
    <row r="46" spans="1:22">
      <c r="A46" s="20"/>
      <c r="B46" s="20"/>
      <c r="C46" s="20"/>
      <c r="D46" s="20"/>
      <c r="M46" s="8" t="b">
        <v>0</v>
      </c>
      <c r="N46" s="10"/>
      <c r="P46" s="8" t="b">
        <v>0</v>
      </c>
      <c r="Q46" s="10"/>
      <c r="S46" s="8" t="b">
        <v>0</v>
      </c>
      <c r="V46" s="8" t="b">
        <v>0</v>
      </c>
    </row>
    <row r="47" spans="1:22">
      <c r="A47" s="20"/>
      <c r="B47" s="20"/>
      <c r="C47" s="20"/>
      <c r="D47" s="20"/>
      <c r="M47" s="8" t="b">
        <v>0</v>
      </c>
      <c r="N47" s="10"/>
      <c r="P47" s="8" t="b">
        <v>0</v>
      </c>
      <c r="S47" s="8" t="b">
        <v>0</v>
      </c>
      <c r="V47" s="8" t="b">
        <v>0</v>
      </c>
    </row>
    <row r="48" spans="1:22">
      <c r="A48" s="20"/>
      <c r="B48" s="20"/>
      <c r="C48" s="20"/>
      <c r="D48" s="20"/>
      <c r="M48" s="8" t="b">
        <v>0</v>
      </c>
      <c r="N48" s="10"/>
      <c r="P48" s="8" t="b">
        <v>0</v>
      </c>
      <c r="S48" s="8" t="b">
        <v>0</v>
      </c>
      <c r="V48" s="8" t="b">
        <v>0</v>
      </c>
    </row>
    <row r="49" spans="1:22">
      <c r="A49" s="20"/>
      <c r="B49" s="20"/>
      <c r="C49" s="20"/>
      <c r="D49" s="20"/>
      <c r="M49" s="1"/>
      <c r="N49" s="10"/>
      <c r="P49" s="1"/>
      <c r="S49" s="1"/>
      <c r="V49" s="1"/>
    </row>
    <row r="50" spans="1:22">
      <c r="A50" s="20"/>
      <c r="B50" s="20"/>
      <c r="C50" s="20"/>
      <c r="D50" s="20"/>
      <c r="M50" s="1"/>
      <c r="N50" s="10"/>
      <c r="P50" s="1"/>
      <c r="S50" s="1"/>
      <c r="V50" s="1"/>
    </row>
    <row r="51" spans="1:22">
      <c r="A51" s="20"/>
      <c r="B51" s="20"/>
      <c r="C51" s="20"/>
      <c r="D51" s="20"/>
      <c r="M51" s="1"/>
      <c r="N51" s="10"/>
      <c r="P51" s="1"/>
      <c r="S51" s="1"/>
      <c r="V51" s="1"/>
    </row>
    <row r="52" spans="1:22">
      <c r="A52" s="20" t="s">
        <v>377</v>
      </c>
      <c r="B52" s="20"/>
      <c r="C52" s="20"/>
      <c r="D52" s="20"/>
      <c r="F52" s="22"/>
      <c r="G52" s="22"/>
      <c r="H52" s="22"/>
      <c r="I52" s="22"/>
      <c r="M52" s="18"/>
      <c r="P52" s="18"/>
      <c r="S52" s="18"/>
      <c r="V52" s="18"/>
    </row>
    <row r="53" spans="1:22">
      <c r="A53" s="20"/>
      <c r="B53" s="20"/>
      <c r="C53" s="20"/>
      <c r="D53" s="20"/>
      <c r="M53" s="18"/>
      <c r="P53" s="18"/>
      <c r="S53" s="18"/>
      <c r="V53" s="18"/>
    </row>
    <row r="54" spans="1:22">
      <c r="A54" s="20" t="s">
        <v>498</v>
      </c>
      <c r="B54" s="20"/>
      <c r="C54" s="20"/>
      <c r="D54" s="20"/>
      <c r="M54" s="1"/>
      <c r="N54" s="10"/>
      <c r="P54" s="1"/>
      <c r="S54" s="1"/>
      <c r="V54" s="1"/>
    </row>
    <row r="55" spans="1:22">
      <c r="A55" s="20"/>
      <c r="B55" s="20"/>
      <c r="C55" s="20"/>
      <c r="D55" s="20"/>
      <c r="M55" s="1"/>
      <c r="P55" s="1"/>
      <c r="S55" s="1"/>
      <c r="V55" s="1"/>
    </row>
    <row r="56" spans="1:22" s="5" customFormat="1">
      <c r="B56" s="4"/>
      <c r="L56" s="3"/>
      <c r="M56" s="1"/>
      <c r="N56" s="3"/>
      <c r="P56" s="1"/>
      <c r="S56" s="1"/>
      <c r="V56" s="1"/>
    </row>
    <row r="57" spans="1:22" s="5" customFormat="1">
      <c r="B57" s="4"/>
      <c r="L57" s="3"/>
      <c r="M57" s="1"/>
      <c r="N57" s="3"/>
      <c r="P57" s="1"/>
      <c r="S57" s="1"/>
      <c r="V57" s="1"/>
    </row>
    <row r="58" spans="1:22" s="5" customFormat="1">
      <c r="B58" s="1"/>
      <c r="C58" s="3"/>
      <c r="D58" s="3"/>
      <c r="L58" s="3"/>
      <c r="M58" s="1"/>
      <c r="N58" s="3"/>
      <c r="P58" s="1"/>
      <c r="S58" s="1"/>
      <c r="V58" s="1"/>
    </row>
    <row r="59" spans="1:22" s="5" customFormat="1">
      <c r="B59" s="1"/>
      <c r="C59" s="3"/>
      <c r="D59" s="3"/>
      <c r="L59" s="3"/>
      <c r="M59" s="1"/>
      <c r="N59" s="3"/>
      <c r="P59" s="1"/>
      <c r="S59" s="1"/>
      <c r="V59" s="1"/>
    </row>
    <row r="60" spans="1:22" s="5" customFormat="1">
      <c r="B60" s="1"/>
      <c r="C60" s="3"/>
      <c r="D60" s="3"/>
      <c r="L60" s="3"/>
      <c r="M60" s="1"/>
      <c r="N60" s="3"/>
      <c r="P60" s="1"/>
      <c r="S60" s="1"/>
      <c r="V60" s="1"/>
    </row>
    <row r="61" spans="1:22" s="5" customFormat="1">
      <c r="B61" s="1"/>
      <c r="C61" s="3"/>
      <c r="D61" s="3"/>
      <c r="L61" s="3"/>
      <c r="M61" s="1"/>
      <c r="N61" s="3"/>
      <c r="P61" s="1"/>
      <c r="S61" s="1"/>
      <c r="V61" s="1"/>
    </row>
    <row r="62" spans="1:22">
      <c r="B62" s="1"/>
      <c r="M62" s="1"/>
      <c r="P62" s="1"/>
      <c r="S62" s="1"/>
      <c r="V62" s="1"/>
    </row>
    <row r="63" spans="1:22">
      <c r="B63" s="1"/>
      <c r="M63" s="1"/>
      <c r="P63" s="1"/>
      <c r="S63" s="1"/>
      <c r="V63" s="1"/>
    </row>
    <row r="64" spans="1:22">
      <c r="B64" s="1"/>
      <c r="M64" s="1"/>
      <c r="P64" s="1"/>
      <c r="S64" s="1"/>
      <c r="V64" s="1"/>
    </row>
    <row r="65" spans="2:22">
      <c r="B65" s="1"/>
      <c r="M65" s="1"/>
      <c r="P65" s="1"/>
      <c r="S65" s="1"/>
      <c r="V65" s="1"/>
    </row>
    <row r="66" spans="2:22">
      <c r="B66" s="1"/>
      <c r="M66" s="1"/>
      <c r="P66" s="1"/>
      <c r="S66" s="1"/>
      <c r="V66" s="1"/>
    </row>
    <row r="67" spans="2:22">
      <c r="B67" s="18"/>
      <c r="M67" s="1"/>
      <c r="P67" s="1"/>
      <c r="S67" s="1"/>
      <c r="V67" s="1"/>
    </row>
    <row r="68" spans="2:22">
      <c r="B68" s="1"/>
      <c r="L68" s="5"/>
      <c r="M68" s="1"/>
      <c r="N68" s="5"/>
      <c r="P68" s="1"/>
      <c r="S68" s="1"/>
      <c r="V68" s="1"/>
    </row>
    <row r="69" spans="2:22">
      <c r="B69" s="1"/>
      <c r="L69" s="5"/>
      <c r="M69" s="1"/>
      <c r="N69" s="5"/>
      <c r="P69" s="1"/>
      <c r="S69" s="1"/>
      <c r="V69" s="1"/>
    </row>
    <row r="70" spans="2:22">
      <c r="B70" s="1"/>
      <c r="L70" s="5"/>
      <c r="M70" s="1"/>
      <c r="N70" s="5"/>
      <c r="P70" s="1"/>
      <c r="S70" s="1"/>
      <c r="V70" s="1"/>
    </row>
    <row r="71" spans="2:22">
      <c r="B71" s="1"/>
      <c r="L71" s="5"/>
      <c r="M71" s="1"/>
      <c r="N71" s="5"/>
      <c r="P71" s="1"/>
      <c r="S71" s="1"/>
      <c r="V71" s="1"/>
    </row>
    <row r="72" spans="2:22">
      <c r="B72" s="1"/>
      <c r="M72" s="1"/>
      <c r="P72" s="1"/>
      <c r="S72" s="1"/>
      <c r="V72" s="1"/>
    </row>
    <row r="73" spans="2:22">
      <c r="B73" s="1"/>
      <c r="M73" s="2"/>
      <c r="P73" s="2"/>
      <c r="S73" s="2"/>
      <c r="V73" s="2"/>
    </row>
    <row r="74" spans="2:22" s="5" customFormat="1">
      <c r="B74" s="4"/>
      <c r="M74" s="14"/>
      <c r="P74" s="14"/>
      <c r="S74" s="14"/>
      <c r="V74" s="14"/>
    </row>
    <row r="75" spans="2:22" s="5" customFormat="1">
      <c r="B75" s="4"/>
      <c r="L75" s="3"/>
      <c r="M75" s="2"/>
      <c r="N75" s="3"/>
      <c r="P75" s="2"/>
      <c r="S75" s="2"/>
      <c r="V75" s="2"/>
    </row>
    <row r="76" spans="2:22" s="5" customFormat="1">
      <c r="B76" s="1"/>
      <c r="C76" s="3"/>
      <c r="D76" s="3"/>
      <c r="M76" s="4"/>
      <c r="P76" s="4"/>
      <c r="S76" s="4"/>
      <c r="V76" s="4"/>
    </row>
    <row r="77" spans="2:22" s="5" customFormat="1">
      <c r="B77" s="1"/>
      <c r="C77" s="3"/>
      <c r="D77" s="3"/>
      <c r="M77" s="4"/>
      <c r="P77" s="4"/>
      <c r="S77" s="4"/>
      <c r="V77" s="4"/>
    </row>
    <row r="78" spans="2:22">
      <c r="B78" s="1"/>
      <c r="L78" s="5"/>
      <c r="M78" s="4"/>
      <c r="N78" s="5"/>
      <c r="P78" s="4"/>
      <c r="S78" s="4"/>
      <c r="V78" s="4"/>
    </row>
    <row r="79" spans="2:22">
      <c r="B79" s="1"/>
      <c r="L79" s="5"/>
      <c r="M79" s="1"/>
      <c r="N79" s="5"/>
      <c r="P79" s="1"/>
      <c r="S79" s="1"/>
      <c r="V79" s="1"/>
    </row>
    <row r="80" spans="2:22">
      <c r="B80" s="1"/>
      <c r="L80" s="5"/>
      <c r="M80" s="1"/>
      <c r="N80" s="5"/>
      <c r="P80" s="1"/>
      <c r="S80" s="1"/>
      <c r="V80" s="1"/>
    </row>
    <row r="81" spans="2:22">
      <c r="B81" s="1"/>
      <c r="M81" s="1"/>
      <c r="P81" s="1"/>
      <c r="S81" s="1"/>
      <c r="V81" s="1"/>
    </row>
    <row r="82" spans="2:22">
      <c r="B82" s="1"/>
      <c r="M82" s="1"/>
      <c r="P82" s="1"/>
      <c r="S82" s="1"/>
      <c r="V82" s="1"/>
    </row>
    <row r="83" spans="2:22">
      <c r="B83" s="1"/>
      <c r="M83" s="1"/>
      <c r="P83" s="1"/>
      <c r="S83" s="1"/>
      <c r="V83" s="1"/>
    </row>
    <row r="84" spans="2:22">
      <c r="B84" s="1"/>
      <c r="M84" s="1"/>
      <c r="P84" s="1"/>
      <c r="S84" s="1"/>
      <c r="V84" s="1"/>
    </row>
    <row r="85" spans="2:22">
      <c r="B85" s="1"/>
      <c r="M85" s="1"/>
      <c r="P85" s="1"/>
      <c r="S85" s="1"/>
      <c r="V85" s="1"/>
    </row>
    <row r="86" spans="2:22">
      <c r="B86" s="1"/>
      <c r="M86" s="1"/>
      <c r="P86" s="1"/>
      <c r="S86" s="1"/>
      <c r="V86" s="1"/>
    </row>
    <row r="87" spans="2:22">
      <c r="B87" s="1"/>
      <c r="M87" s="1"/>
      <c r="P87" s="1"/>
      <c r="S87" s="1"/>
      <c r="V87" s="1"/>
    </row>
    <row r="88" spans="2:22">
      <c r="B88" s="1"/>
      <c r="M88" s="1"/>
      <c r="P88" s="1"/>
      <c r="S88" s="1"/>
      <c r="V88" s="1"/>
    </row>
    <row r="89" spans="2:22">
      <c r="M89" s="1"/>
      <c r="P89" s="1"/>
      <c r="S89" s="1"/>
      <c r="V89" s="1"/>
    </row>
    <row r="90" spans="2:22">
      <c r="M90" s="1"/>
      <c r="P90" s="1"/>
      <c r="S90" s="1"/>
      <c r="V90" s="1"/>
    </row>
    <row r="91" spans="2:22">
      <c r="M91" s="1"/>
      <c r="P91" s="1"/>
      <c r="S91" s="1"/>
      <c r="V91" s="1"/>
    </row>
  </sheetData>
  <pageMargins left="0.7" right="0.7" top="0.75" bottom="0.75" header="0.3" footer="0.3"/>
  <pageSetup orientation="portrait" horizontalDpi="203" verticalDpi="20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12DD-FF7C-47AD-94C8-F5939F65BDE4}">
  <dimension ref="A1:V70"/>
  <sheetViews>
    <sheetView workbookViewId="0">
      <pane ySplit="2" topLeftCell="A3" activePane="bottomLeft" state="frozen"/>
      <selection pane="bottomLeft" activeCell="V10" sqref="V10"/>
    </sheetView>
  </sheetViews>
  <sheetFormatPr defaultColWidth="8.85546875" defaultRowHeight="15.95"/>
  <cols>
    <col min="1" max="1" width="14.140625" style="3" customWidth="1"/>
    <col min="2" max="2" width="60.28515625" style="3" customWidth="1"/>
    <col min="3" max="3" width="2.140625" style="3" customWidth="1"/>
    <col min="4" max="4" width="14.5703125" style="13" customWidth="1"/>
    <col min="5" max="5" width="2.140625" style="3" customWidth="1"/>
    <col min="6" max="6" width="14.5703125" style="13" customWidth="1"/>
    <col min="7" max="7" width="2.140625" style="3" customWidth="1"/>
    <col min="8" max="8" width="26.5703125" style="3" customWidth="1"/>
    <col min="9" max="9" width="2.42578125" style="3" customWidth="1"/>
    <col min="10" max="10" width="13.7109375" style="3" customWidth="1"/>
    <col min="11" max="11" width="2.42578125" style="3" customWidth="1"/>
    <col min="12" max="12" width="8.85546875" style="3"/>
    <col min="13" max="13" width="13.7109375" style="3" customWidth="1"/>
    <col min="14" max="14" width="2.7109375" style="3" customWidth="1"/>
    <col min="15" max="15" width="8.85546875" style="3"/>
    <col min="16" max="16" width="13.7109375" style="3" customWidth="1"/>
    <col min="17" max="17" width="2.7109375" style="3" customWidth="1"/>
    <col min="18" max="18" width="6.85546875" style="3" customWidth="1"/>
    <col min="19" max="19" width="11.42578125" style="3" customWidth="1"/>
    <col min="20" max="20" width="2.42578125" style="3" customWidth="1"/>
    <col min="21" max="21" width="13.28515625" style="3" customWidth="1"/>
    <col min="22" max="22" width="27.140625" style="3" customWidth="1"/>
    <col min="23" max="16384" width="8.85546875" style="3"/>
  </cols>
  <sheetData>
    <row r="1" spans="1:22" s="5" customFormat="1">
      <c r="A1" s="5" t="s">
        <v>402</v>
      </c>
      <c r="D1" s="11"/>
      <c r="F1" s="11"/>
      <c r="L1" s="4"/>
      <c r="O1" s="4"/>
      <c r="R1" s="4"/>
    </row>
    <row r="2" spans="1:22" s="5" customFormat="1" ht="47.65">
      <c r="D2" s="12" t="s">
        <v>111</v>
      </c>
      <c r="F2" s="12" t="s">
        <v>68</v>
      </c>
      <c r="H2" s="6" t="s">
        <v>5</v>
      </c>
      <c r="I2" s="6"/>
      <c r="J2" s="7" t="s">
        <v>674</v>
      </c>
      <c r="K2" s="6"/>
      <c r="L2" s="17"/>
      <c r="M2" s="7" t="s">
        <v>193</v>
      </c>
      <c r="O2" s="17"/>
      <c r="P2" s="7" t="s">
        <v>69</v>
      </c>
      <c r="R2" s="17"/>
      <c r="S2" s="7" t="s">
        <v>70</v>
      </c>
      <c r="U2" s="5" t="s">
        <v>1315</v>
      </c>
      <c r="V2" s="5" t="s">
        <v>1262</v>
      </c>
    </row>
    <row r="3" spans="1:22" s="5" customFormat="1">
      <c r="A3" s="4" t="s">
        <v>73</v>
      </c>
      <c r="D3" s="11"/>
      <c r="F3" s="11"/>
    </row>
    <row r="4" spans="1:22">
      <c r="L4" s="1"/>
      <c r="O4" s="1"/>
      <c r="R4" s="1"/>
    </row>
    <row r="5" spans="1:22">
      <c r="B5" s="3" t="s">
        <v>675</v>
      </c>
      <c r="L5" s="8" t="b">
        <v>0</v>
      </c>
      <c r="O5" s="8" t="b">
        <v>0</v>
      </c>
      <c r="R5" s="8" t="b">
        <v>0</v>
      </c>
    </row>
    <row r="6" spans="1:22">
      <c r="B6" s="3" t="s">
        <v>676</v>
      </c>
      <c r="L6" s="8" t="b">
        <v>0</v>
      </c>
      <c r="O6" s="8" t="b">
        <v>0</v>
      </c>
      <c r="R6" s="8" t="b">
        <v>0</v>
      </c>
    </row>
    <row r="7" spans="1:22">
      <c r="A7" s="3" t="s">
        <v>677</v>
      </c>
      <c r="B7" s="3" t="s">
        <v>819</v>
      </c>
      <c r="L7" s="8" t="b">
        <v>0</v>
      </c>
      <c r="O7" s="8" t="b">
        <v>0</v>
      </c>
      <c r="R7" s="8" t="b">
        <v>0</v>
      </c>
    </row>
    <row r="8" spans="1:22">
      <c r="B8" s="3" t="s">
        <v>679</v>
      </c>
      <c r="L8" s="8" t="b">
        <v>0</v>
      </c>
      <c r="O8" s="8" t="b">
        <v>0</v>
      </c>
      <c r="R8" s="8" t="b">
        <v>0</v>
      </c>
    </row>
    <row r="9" spans="1:22">
      <c r="B9" s="3" t="s">
        <v>898</v>
      </c>
      <c r="L9" s="8" t="b">
        <v>0</v>
      </c>
      <c r="O9" s="8" t="b">
        <v>0</v>
      </c>
      <c r="R9" s="8" t="b">
        <v>0</v>
      </c>
    </row>
    <row r="10" spans="1:22">
      <c r="B10" s="3" t="s">
        <v>1269</v>
      </c>
      <c r="L10" s="8" t="b">
        <v>0</v>
      </c>
      <c r="O10" s="8" t="b">
        <v>0</v>
      </c>
      <c r="R10" s="8" t="b">
        <v>0</v>
      </c>
    </row>
    <row r="11" spans="1:22">
      <c r="B11" s="3" t="s">
        <v>899</v>
      </c>
      <c r="L11" s="8" t="b">
        <v>0</v>
      </c>
      <c r="O11" s="8" t="b">
        <v>0</v>
      </c>
      <c r="R11" s="8" t="b">
        <v>0</v>
      </c>
    </row>
    <row r="12" spans="1:22">
      <c r="L12" s="8" t="b">
        <v>0</v>
      </c>
      <c r="O12" s="8" t="b">
        <v>0</v>
      </c>
      <c r="R12" s="8" t="b">
        <v>0</v>
      </c>
    </row>
    <row r="13" spans="1:22">
      <c r="L13" s="1"/>
      <c r="O13" s="1"/>
      <c r="R13" s="1"/>
    </row>
    <row r="14" spans="1:22">
      <c r="A14" s="3" t="s">
        <v>301</v>
      </c>
      <c r="B14" s="3" t="s">
        <v>429</v>
      </c>
      <c r="J14" s="10"/>
      <c r="L14" s="8" t="b">
        <v>0</v>
      </c>
      <c r="M14" s="10"/>
      <c r="O14" s="8" t="b">
        <v>0</v>
      </c>
      <c r="P14" s="10"/>
      <c r="R14" s="8" t="b">
        <v>0</v>
      </c>
    </row>
    <row r="15" spans="1:22">
      <c r="B15" s="3" t="s">
        <v>1215</v>
      </c>
      <c r="J15" s="10"/>
      <c r="L15" s="8" t="b">
        <v>0</v>
      </c>
      <c r="M15" s="10"/>
      <c r="O15" s="8" t="b">
        <v>0</v>
      </c>
      <c r="P15" s="10"/>
      <c r="R15" s="8" t="b">
        <v>0</v>
      </c>
    </row>
    <row r="16" spans="1:22">
      <c r="B16" s="3" t="s">
        <v>1344</v>
      </c>
      <c r="J16" s="10"/>
      <c r="L16" s="8" t="b">
        <v>0</v>
      </c>
      <c r="M16" s="10"/>
      <c r="O16" s="8" t="b">
        <v>0</v>
      </c>
      <c r="P16" s="10"/>
      <c r="R16" s="8" t="b">
        <v>0</v>
      </c>
    </row>
    <row r="17" spans="1:18">
      <c r="B17" s="3" t="s">
        <v>689</v>
      </c>
      <c r="J17" s="10"/>
      <c r="L17" s="8" t="b">
        <v>0</v>
      </c>
      <c r="M17" s="10"/>
      <c r="O17" s="8" t="b">
        <v>0</v>
      </c>
      <c r="P17" s="10"/>
      <c r="R17" s="8" t="b">
        <v>0</v>
      </c>
    </row>
    <row r="18" spans="1:18">
      <c r="B18" s="3" t="s">
        <v>1345</v>
      </c>
      <c r="J18" s="10"/>
      <c r="L18" s="8" t="b">
        <v>0</v>
      </c>
      <c r="M18" s="10"/>
      <c r="O18" s="8" t="b">
        <v>0</v>
      </c>
      <c r="P18" s="10"/>
      <c r="R18" s="8" t="b">
        <v>0</v>
      </c>
    </row>
    <row r="19" spans="1:18">
      <c r="B19" s="3" t="s">
        <v>1346</v>
      </c>
      <c r="J19" s="10"/>
      <c r="L19" s="8" t="b">
        <v>0</v>
      </c>
      <c r="M19" s="10"/>
      <c r="O19" s="8" t="b">
        <v>0</v>
      </c>
      <c r="P19" s="10"/>
      <c r="R19" s="8" t="b">
        <v>0</v>
      </c>
    </row>
    <row r="20" spans="1:18">
      <c r="J20" s="10"/>
      <c r="L20" s="8" t="b">
        <v>0</v>
      </c>
      <c r="M20" s="10"/>
      <c r="O20" s="8" t="b">
        <v>0</v>
      </c>
      <c r="P20" s="10"/>
      <c r="R20" s="8" t="b">
        <v>0</v>
      </c>
    </row>
    <row r="21" spans="1:18">
      <c r="J21" s="10"/>
      <c r="L21" s="1"/>
      <c r="M21" s="10"/>
      <c r="O21" s="1"/>
      <c r="P21" s="10"/>
      <c r="R21" s="1"/>
    </row>
    <row r="22" spans="1:18">
      <c r="A22" s="3" t="s">
        <v>407</v>
      </c>
      <c r="B22" s="3" t="s">
        <v>823</v>
      </c>
      <c r="J22" s="10"/>
      <c r="L22" s="8" t="b">
        <v>0</v>
      </c>
      <c r="M22" s="10"/>
      <c r="O22" s="8" t="b">
        <v>0</v>
      </c>
      <c r="P22" s="10"/>
      <c r="R22" s="8" t="b">
        <v>1</v>
      </c>
    </row>
    <row r="23" spans="1:18">
      <c r="B23" s="3" t="s">
        <v>410</v>
      </c>
      <c r="J23" s="10"/>
      <c r="L23" s="8" t="b">
        <v>0</v>
      </c>
      <c r="M23" s="10"/>
      <c r="O23" s="8" t="b">
        <v>0</v>
      </c>
      <c r="P23" s="10"/>
      <c r="R23" s="8" t="b">
        <v>0</v>
      </c>
    </row>
    <row r="24" spans="1:18">
      <c r="J24" s="10"/>
      <c r="L24" s="8" t="b">
        <v>0</v>
      </c>
      <c r="M24" s="10"/>
      <c r="O24" s="8" t="b">
        <v>0</v>
      </c>
      <c r="P24" s="10"/>
      <c r="R24" s="8" t="b">
        <v>0</v>
      </c>
    </row>
    <row r="25" spans="1:18">
      <c r="J25" s="10"/>
      <c r="L25" s="1"/>
      <c r="M25" s="10"/>
      <c r="O25" s="1"/>
      <c r="P25" s="10"/>
      <c r="R25" s="1"/>
    </row>
    <row r="26" spans="1:18">
      <c r="A26" s="3" t="s">
        <v>411</v>
      </c>
      <c r="B26" s="3" t="s">
        <v>1278</v>
      </c>
      <c r="L26" s="8" t="b">
        <v>0</v>
      </c>
      <c r="O26" s="8" t="b">
        <v>0</v>
      </c>
      <c r="R26" s="8" t="b">
        <v>0</v>
      </c>
    </row>
    <row r="27" spans="1:18">
      <c r="J27" s="10"/>
      <c r="L27" s="1"/>
      <c r="M27" s="10"/>
      <c r="O27" s="1"/>
      <c r="P27" s="10"/>
      <c r="R27" s="1"/>
    </row>
    <row r="28" spans="1:18">
      <c r="A28" s="3" t="s">
        <v>543</v>
      </c>
      <c r="B28" s="3" t="s">
        <v>1219</v>
      </c>
      <c r="L28" s="8" t="b">
        <v>0</v>
      </c>
      <c r="O28" s="8" t="b">
        <v>0</v>
      </c>
      <c r="R28" s="8" t="b">
        <v>0</v>
      </c>
    </row>
    <row r="29" spans="1:18">
      <c r="B29" s="3" t="s">
        <v>1347</v>
      </c>
      <c r="L29" s="9" t="b">
        <v>0</v>
      </c>
      <c r="O29" s="9" t="b">
        <v>0</v>
      </c>
      <c r="R29" s="9" t="b">
        <v>0</v>
      </c>
    </row>
    <row r="30" spans="1:18">
      <c r="B30" s="3" t="s">
        <v>1348</v>
      </c>
      <c r="L30" s="9" t="b">
        <v>0</v>
      </c>
      <c r="O30" s="9" t="b">
        <v>0</v>
      </c>
      <c r="R30" s="9" t="b">
        <v>0</v>
      </c>
    </row>
    <row r="31" spans="1:18">
      <c r="B31" s="3" t="s">
        <v>1349</v>
      </c>
      <c r="L31" s="9" t="b">
        <v>0</v>
      </c>
      <c r="O31" s="9" t="b">
        <v>0</v>
      </c>
      <c r="R31" s="9" t="b">
        <v>0</v>
      </c>
    </row>
    <row r="32" spans="1:18">
      <c r="L32" s="9" t="b">
        <v>0</v>
      </c>
      <c r="O32" s="9" t="b">
        <v>0</v>
      </c>
      <c r="R32" s="9" t="b">
        <v>0</v>
      </c>
    </row>
    <row r="33" spans="1:18">
      <c r="J33" s="10"/>
      <c r="L33" s="1"/>
      <c r="M33" s="10"/>
      <c r="O33" s="1"/>
      <c r="P33" s="10"/>
      <c r="R33" s="1"/>
    </row>
    <row r="34" spans="1:18">
      <c r="A34" s="3" t="s">
        <v>100</v>
      </c>
      <c r="B34" s="3" t="s">
        <v>1224</v>
      </c>
      <c r="L34" s="8" t="b">
        <v>0</v>
      </c>
      <c r="O34" s="8" t="b">
        <v>0</v>
      </c>
      <c r="R34" s="8" t="b">
        <v>0</v>
      </c>
    </row>
    <row r="35" spans="1:18">
      <c r="B35" s="3" t="s">
        <v>1225</v>
      </c>
      <c r="L35" s="8" t="b">
        <v>0</v>
      </c>
      <c r="O35" s="8" t="b">
        <v>0</v>
      </c>
      <c r="R35" s="8" t="b">
        <v>0</v>
      </c>
    </row>
    <row r="36" spans="1:18">
      <c r="B36" s="3" t="s">
        <v>1227</v>
      </c>
      <c r="L36" s="8" t="b">
        <v>0</v>
      </c>
      <c r="O36" s="8" t="b">
        <v>0</v>
      </c>
      <c r="R36" s="8" t="b">
        <v>0</v>
      </c>
    </row>
    <row r="37" spans="1:18">
      <c r="B37" s="3" t="s">
        <v>1228</v>
      </c>
      <c r="L37" s="8" t="b">
        <v>0</v>
      </c>
      <c r="O37" s="8" t="b">
        <v>0</v>
      </c>
      <c r="R37" s="8" t="b">
        <v>0</v>
      </c>
    </row>
    <row r="38" spans="1:18">
      <c r="B38" s="3" t="s">
        <v>1229</v>
      </c>
      <c r="L38" s="8" t="b">
        <v>0</v>
      </c>
      <c r="O38" s="8" t="b">
        <v>0</v>
      </c>
      <c r="R38" s="8" t="b">
        <v>0</v>
      </c>
    </row>
    <row r="39" spans="1:18">
      <c r="B39" s="3" t="s">
        <v>1231</v>
      </c>
      <c r="L39" s="8" t="b">
        <v>0</v>
      </c>
      <c r="O39" s="8" t="b">
        <v>0</v>
      </c>
      <c r="R39" s="8" t="b">
        <v>0</v>
      </c>
    </row>
    <row r="40" spans="1:18">
      <c r="L40" s="8" t="b">
        <v>0</v>
      </c>
      <c r="O40" s="8" t="b">
        <v>0</v>
      </c>
      <c r="R40" s="8" t="b">
        <v>0</v>
      </c>
    </row>
    <row r="41" spans="1:18">
      <c r="L41" s="8" t="b">
        <v>0</v>
      </c>
      <c r="O41" s="8" t="b">
        <v>0</v>
      </c>
      <c r="R41" s="8" t="b">
        <v>0</v>
      </c>
    </row>
    <row r="42" spans="1:18">
      <c r="L42" s="1"/>
      <c r="O42" s="1"/>
      <c r="R42" s="1"/>
    </row>
    <row r="43" spans="1:18">
      <c r="B43" s="3" t="s">
        <v>1236</v>
      </c>
      <c r="H43" s="3" t="s">
        <v>1237</v>
      </c>
      <c r="L43" s="8" t="b">
        <v>0</v>
      </c>
      <c r="O43" s="8" t="b">
        <v>0</v>
      </c>
      <c r="R43" s="8" t="b">
        <v>0</v>
      </c>
    </row>
    <row r="44" spans="1:18">
      <c r="L44" s="8" t="b">
        <v>0</v>
      </c>
      <c r="O44" s="8" t="b">
        <v>0</v>
      </c>
      <c r="R44" s="8" t="b">
        <v>0</v>
      </c>
    </row>
    <row r="45" spans="1:18">
      <c r="L45" s="8" t="b">
        <v>0</v>
      </c>
      <c r="O45" s="8" t="b">
        <v>0</v>
      </c>
      <c r="R45" s="8" t="b">
        <v>0</v>
      </c>
    </row>
    <row r="46" spans="1:18">
      <c r="L46" s="8" t="b">
        <v>0</v>
      </c>
      <c r="O46" s="8" t="b">
        <v>0</v>
      </c>
      <c r="R46" s="8" t="b">
        <v>0</v>
      </c>
    </row>
    <row r="47" spans="1:18" s="5" customFormat="1">
      <c r="B47" s="3"/>
      <c r="C47" s="3"/>
      <c r="D47" s="13"/>
      <c r="F47" s="13"/>
      <c r="L47" s="8" t="b">
        <v>0</v>
      </c>
      <c r="O47" s="8" t="b">
        <v>0</v>
      </c>
      <c r="R47" s="8" t="b">
        <v>0</v>
      </c>
    </row>
    <row r="48" spans="1:18" s="5" customFormat="1">
      <c r="B48" s="3"/>
      <c r="C48" s="3"/>
      <c r="D48" s="13"/>
      <c r="F48" s="13"/>
      <c r="L48" s="8" t="b">
        <v>0</v>
      </c>
      <c r="O48" s="8" t="b">
        <v>0</v>
      </c>
      <c r="R48" s="8" t="b">
        <v>0</v>
      </c>
    </row>
    <row r="49" spans="2:18" s="5" customFormat="1">
      <c r="B49" s="3"/>
      <c r="C49" s="3"/>
      <c r="D49" s="13"/>
      <c r="F49" s="13"/>
      <c r="L49" s="8" t="b">
        <v>0</v>
      </c>
      <c r="O49" s="8" t="b">
        <v>0</v>
      </c>
      <c r="R49" s="8" t="b">
        <v>0</v>
      </c>
    </row>
    <row r="50" spans="2:18" s="5" customFormat="1">
      <c r="B50" s="3"/>
      <c r="C50" s="3"/>
      <c r="D50" s="13"/>
      <c r="F50" s="13"/>
      <c r="L50" s="8" t="b">
        <v>0</v>
      </c>
      <c r="O50" s="8" t="b">
        <v>0</v>
      </c>
      <c r="R50" s="8" t="b">
        <v>0</v>
      </c>
    </row>
    <row r="51" spans="2:18">
      <c r="L51" s="1"/>
      <c r="O51" s="1"/>
      <c r="R51" s="1"/>
    </row>
    <row r="52" spans="2:18">
      <c r="L52" s="2"/>
      <c r="O52" s="2"/>
      <c r="R52" s="2"/>
    </row>
    <row r="53" spans="2:18" s="5" customFormat="1">
      <c r="B53" s="5" t="s">
        <v>509</v>
      </c>
      <c r="D53" s="11">
        <f>SUM(D6:D52)</f>
        <v>0</v>
      </c>
      <c r="F53" s="11">
        <f>SUM(F22:F52)</f>
        <v>0</v>
      </c>
      <c r="L53" s="14"/>
      <c r="O53" s="14"/>
      <c r="R53" s="14"/>
    </row>
    <row r="54" spans="2:18">
      <c r="L54" s="2"/>
      <c r="O54" s="2"/>
      <c r="R54" s="2"/>
    </row>
    <row r="55" spans="2:18" s="5" customFormat="1">
      <c r="D55" s="11"/>
      <c r="F55" s="11"/>
      <c r="L55" s="4"/>
      <c r="O55" s="4"/>
      <c r="R55" s="4"/>
    </row>
    <row r="56" spans="2:18" s="5" customFormat="1">
      <c r="D56" s="11"/>
      <c r="F56" s="11"/>
      <c r="L56" s="4"/>
      <c r="O56" s="4"/>
      <c r="R56" s="4"/>
    </row>
    <row r="57" spans="2:18" s="5" customFormat="1">
      <c r="D57" s="11"/>
      <c r="F57" s="11"/>
      <c r="L57" s="4"/>
      <c r="O57" s="4"/>
      <c r="R57" s="4"/>
    </row>
    <row r="58" spans="2:18" s="5" customFormat="1">
      <c r="B58" s="3"/>
      <c r="C58" s="3"/>
      <c r="D58" s="13"/>
      <c r="F58" s="13"/>
      <c r="L58" s="1"/>
      <c r="O58" s="1"/>
      <c r="R58" s="1"/>
    </row>
    <row r="59" spans="2:18" s="5" customFormat="1">
      <c r="B59" s="3"/>
      <c r="C59" s="3"/>
      <c r="D59" s="13"/>
      <c r="F59" s="13"/>
      <c r="L59" s="1"/>
      <c r="O59" s="1"/>
      <c r="R59" s="1"/>
    </row>
    <row r="60" spans="2:18">
      <c r="L60" s="1"/>
      <c r="O60" s="1"/>
      <c r="R60" s="1"/>
    </row>
    <row r="61" spans="2:18">
      <c r="L61" s="1"/>
      <c r="O61" s="1"/>
      <c r="R61" s="1"/>
    </row>
    <row r="62" spans="2:18">
      <c r="L62" s="1"/>
      <c r="O62" s="1"/>
      <c r="R62" s="1"/>
    </row>
    <row r="63" spans="2:18">
      <c r="L63" s="1"/>
      <c r="O63" s="1"/>
      <c r="R63" s="1"/>
    </row>
    <row r="64" spans="2:18">
      <c r="L64" s="1"/>
      <c r="O64" s="1"/>
      <c r="R64" s="1"/>
    </row>
    <row r="65" spans="12:18">
      <c r="L65" s="1"/>
      <c r="O65" s="1"/>
      <c r="R65" s="1"/>
    </row>
    <row r="66" spans="12:18">
      <c r="L66" s="1"/>
      <c r="O66" s="1"/>
      <c r="R66" s="1"/>
    </row>
    <row r="67" spans="12:18">
      <c r="L67" s="1"/>
      <c r="O67" s="1"/>
      <c r="R67" s="1"/>
    </row>
    <row r="68" spans="12:18">
      <c r="L68" s="1"/>
      <c r="O68" s="1"/>
      <c r="R68" s="1"/>
    </row>
    <row r="69" spans="12:18">
      <c r="L69" s="1"/>
      <c r="O69" s="1"/>
      <c r="R69" s="1"/>
    </row>
    <row r="70" spans="12:18">
      <c r="L70" s="1"/>
      <c r="O70" s="1"/>
      <c r="R70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CA6C33DB954469FFC730A3D4DEEC2" ma:contentTypeVersion="19" ma:contentTypeDescription="Create a new document." ma:contentTypeScope="" ma:versionID="98641bea23f95a6381de321459938a31">
  <xsd:schema xmlns:xsd="http://www.w3.org/2001/XMLSchema" xmlns:xs="http://www.w3.org/2001/XMLSchema" xmlns:p="http://schemas.microsoft.com/office/2006/metadata/properties" xmlns:ns2="6810c09e-83d3-4fdf-89fe-0427cf337cc1" xmlns:ns3="1cb60c69-d778-4c2c-bf4b-6debbc7ff2c8" targetNamespace="http://schemas.microsoft.com/office/2006/metadata/properties" ma:root="true" ma:fieldsID="795254cd3428b8f1e9a55677565ea593" ns2:_="" ns3:_="">
    <xsd:import namespace="6810c09e-83d3-4fdf-89fe-0427cf337cc1"/>
    <xsd:import namespace="1cb60c69-d778-4c2c-bf4b-6debbc7ff2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0c09e-83d3-4fdf-89fe-0427cf337c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749b28-0738-423f-a734-462967cb2e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60c69-d778-4c2c-bf4b-6debbc7ff2c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f79d2d9-a943-4101-9d07-b8c47df2bc72}" ma:internalName="TaxCatchAll" ma:showField="CatchAllData" ma:web="1cb60c69-d778-4c2c-bf4b-6debbc7ff2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10c09e-83d3-4fdf-89fe-0427cf337cc1">
      <Terms xmlns="http://schemas.microsoft.com/office/infopath/2007/PartnerControls"/>
    </lcf76f155ced4ddcb4097134ff3c332f>
    <TaxCatchAll xmlns="1cb60c69-d778-4c2c-bf4b-6debbc7ff2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63C2F8-9FF3-469D-85F0-9F4A7172D65A}"/>
</file>

<file path=customXml/itemProps2.xml><?xml version="1.0" encoding="utf-8"?>
<ds:datastoreItem xmlns:ds="http://schemas.openxmlformats.org/officeDocument/2006/customXml" ds:itemID="{11935A76-2DD9-4E2C-B650-EE8F6DC188C8}"/>
</file>

<file path=customXml/itemProps3.xml><?xml version="1.0" encoding="utf-8"?>
<ds:datastoreItem xmlns:ds="http://schemas.openxmlformats.org/officeDocument/2006/customXml" ds:itemID="{1B7C88E1-41E8-43E5-8110-9B7F25DDA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Judy Hogel</dc:creator>
  <cp:keywords/>
  <dc:description/>
  <cp:lastModifiedBy>Judy Hogel</cp:lastModifiedBy>
  <cp:revision/>
  <dcterms:created xsi:type="dcterms:W3CDTF">2025-03-15T17:47:34Z</dcterms:created>
  <dcterms:modified xsi:type="dcterms:W3CDTF">2026-01-17T17:19:34Z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0x010100ABCCA6C33DB954469FFC730A3D4DEEC2</vt:lpwstr>
  </property>
  <property fmtid="{D5CDD505-2E9C-101B-9397-08002B2CF9AE}" pid="3" name="MediaServiceImageTags">
    <vt:lpwstr/>
  </property>
</Properties>
</file>